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Methodology &amp; Note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2"/>
    </font>
    <font>
      <name val="Cambria"/>
      <charset val="1"/>
      <family val="0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bottom"/>
    </xf>
    <xf numFmtId="3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bottom"/>
    </xf>
    <xf numFmtId="3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O4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6" topLeftCell="G7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7" min="1" max="1"/>
    <col width="22" customWidth="1" style="7" min="2" max="2"/>
    <col width="34" customWidth="1" style="7" min="3" max="5"/>
    <col width="9" customWidth="1" style="7" min="6" max="6"/>
    <col width="14" customWidth="1" style="7" min="7" max="22"/>
  </cols>
  <sheetData>
    <row r="1" ht="15" customHeight="1" s="8">
      <c r="A1" s="9" t="inlineStr">
        <is>
          <t>USA Prenatal Vitamin Supplements Market Volume (Mn Units) and Value (US$ Mn) Analysis and Forecast, 2021-2036</t>
        </is>
      </c>
    </row>
    <row r="6" ht="15" customHeight="1" s="8">
      <c r="A6" s="10" t="inlineStr">
        <is>
          <t>Region</t>
        </is>
      </c>
      <c r="B6" s="10" t="inlineStr">
        <is>
          <t>Segment</t>
        </is>
      </c>
      <c r="C6" s="10" t="inlineStr">
        <is>
          <t>Sub-segment</t>
        </is>
      </c>
      <c r="D6" s="10" t="inlineStr">
        <is>
          <t>Sub-segment 1</t>
        </is>
      </c>
      <c r="E6" s="10" t="inlineStr">
        <is>
          <t>Sub-segment 2</t>
        </is>
      </c>
      <c r="F6" s="10" t="inlineStr">
        <is>
          <t>Unit</t>
        </is>
      </c>
      <c r="G6" s="10" t="inlineStr">
        <is>
          <t>2021</t>
        </is>
      </c>
      <c r="H6" s="10" t="inlineStr">
        <is>
          <t>2022</t>
        </is>
      </c>
      <c r="I6" s="10" t="inlineStr">
        <is>
          <t>2023</t>
        </is>
      </c>
      <c r="J6" s="10" t="inlineStr">
        <is>
          <t>2024</t>
        </is>
      </c>
      <c r="K6" s="10" t="inlineStr">
        <is>
          <t>2025</t>
        </is>
      </c>
      <c r="L6" s="10" t="inlineStr">
        <is>
          <t>2026</t>
        </is>
      </c>
      <c r="M6" s="10" t="inlineStr">
        <is>
          <t>2027</t>
        </is>
      </c>
      <c r="N6" s="10" t="inlineStr">
        <is>
          <t>2028</t>
        </is>
      </c>
      <c r="O6" s="10" t="inlineStr">
        <is>
          <t>2029</t>
        </is>
      </c>
      <c r="P6" s="10" t="inlineStr">
        <is>
          <t>2030</t>
        </is>
      </c>
      <c r="Q6" s="10" t="inlineStr">
        <is>
          <t>2031</t>
        </is>
      </c>
      <c r="R6" s="10" t="inlineStr">
        <is>
          <t>2032</t>
        </is>
      </c>
      <c r="S6" s="10" t="inlineStr">
        <is>
          <t>2033</t>
        </is>
      </c>
      <c r="T6" s="10" t="inlineStr">
        <is>
          <t>2034</t>
        </is>
      </c>
      <c r="U6" s="10" t="inlineStr">
        <is>
          <t>2035</t>
        </is>
      </c>
      <c r="V6" s="10" t="inlineStr">
        <is>
          <t>2036</t>
        </is>
      </c>
      <c r="W6" s="10" t="n"/>
      <c r="X6" s="10" t="inlineStr">
        <is>
          <t>H-CAGR</t>
        </is>
      </c>
      <c r="Y6" s="10" t="inlineStr">
        <is>
          <t>F-CAGR</t>
        </is>
      </c>
      <c r="Z6" s="10" t="n"/>
      <c r="AA6" s="10" t="inlineStr">
        <is>
          <t>YoY 2022</t>
        </is>
      </c>
      <c r="AB6" s="10" t="inlineStr">
        <is>
          <t>YoY 2023</t>
        </is>
      </c>
      <c r="AC6" s="10" t="inlineStr">
        <is>
          <t>YoY 2024</t>
        </is>
      </c>
      <c r="AD6" s="10" t="inlineStr">
        <is>
          <t>YoY 2025</t>
        </is>
      </c>
      <c r="AE6" s="10" t="inlineStr">
        <is>
          <t>YoY 2026</t>
        </is>
      </c>
      <c r="AF6" s="10" t="inlineStr">
        <is>
          <t>YoY 2027</t>
        </is>
      </c>
      <c r="AG6" s="10" t="inlineStr">
        <is>
          <t>YoY 2028</t>
        </is>
      </c>
      <c r="AH6" s="10" t="inlineStr">
        <is>
          <t>YoY 2029</t>
        </is>
      </c>
      <c r="AI6" s="10" t="inlineStr">
        <is>
          <t>YoY 2030</t>
        </is>
      </c>
      <c r="AJ6" s="10" t="inlineStr">
        <is>
          <t>YoY 2031</t>
        </is>
      </c>
      <c r="AK6" s="10" t="inlineStr">
        <is>
          <t>YoY 2032</t>
        </is>
      </c>
      <c r="AL6" s="10" t="inlineStr">
        <is>
          <t>YoY 2033</t>
        </is>
      </c>
      <c r="AM6" s="10" t="inlineStr">
        <is>
          <t>YoY 2034</t>
        </is>
      </c>
      <c r="AN6" s="10" t="inlineStr">
        <is>
          <t>YoY 2035</t>
        </is>
      </c>
      <c r="AO6" s="10" t="inlineStr">
        <is>
          <t>YoY 2036</t>
        </is>
      </c>
    </row>
    <row r="7" ht="15" customHeight="1" s="8">
      <c r="A7" s="7" t="inlineStr">
        <is>
          <t>USA</t>
        </is>
      </c>
      <c r="B7" s="7" t="inlineStr">
        <is>
          <t>By Product Format</t>
        </is>
      </c>
      <c r="C7" s="7" t="inlineStr">
        <is>
          <t>Capsule</t>
        </is>
      </c>
      <c r="D7" s="7" t="inlineStr">
        <is>
          <t>Capsule</t>
        </is>
      </c>
      <c r="E7" s="7" t="inlineStr">
        <is>
          <t>Capsule</t>
        </is>
      </c>
      <c r="F7" s="7" t="inlineStr">
        <is>
          <t>Mn Units</t>
        </is>
      </c>
      <c r="G7" s="11" t="n">
        <v>156.578885</v>
      </c>
      <c r="H7" s="11" t="n">
        <v>166.191356</v>
      </c>
      <c r="I7" s="11" t="n">
        <v>176.051895</v>
      </c>
      <c r="J7" s="11" t="n">
        <v>185.968795</v>
      </c>
      <c r="K7" s="11" t="n">
        <v>196.237391</v>
      </c>
      <c r="L7" s="11" t="n">
        <v>207.56348</v>
      </c>
      <c r="M7" s="11" t="n">
        <v>220.215088</v>
      </c>
      <c r="N7" s="11" t="n">
        <v>234.548081</v>
      </c>
      <c r="O7" s="11" t="n">
        <v>251.202966</v>
      </c>
      <c r="P7" s="11" t="n">
        <v>270.229655</v>
      </c>
      <c r="Q7" s="11" t="n">
        <v>290.71117</v>
      </c>
      <c r="R7" s="11" t="n">
        <v>312.177332</v>
      </c>
      <c r="S7" s="11" t="n">
        <v>334.178688</v>
      </c>
      <c r="T7" s="11" t="n">
        <v>356.809408</v>
      </c>
      <c r="U7" s="11" t="n">
        <v>380.260308</v>
      </c>
      <c r="V7" s="11" t="n">
        <v>404.636953</v>
      </c>
      <c r="X7" s="12">
        <f>IFERROR(RATE(4,,-G7,K7),0)</f>
        <v/>
      </c>
      <c r="Y7" s="12">
        <f>IFERROR(RATE(11,,-K7,V7),0)</f>
        <v/>
      </c>
      <c r="AA7" s="12">
        <f>IFERROR(H7/G7-1,0)</f>
        <v/>
      </c>
      <c r="AB7" s="12">
        <f>IFERROR(I7/H7-1,0)</f>
        <v/>
      </c>
      <c r="AC7" s="12">
        <f>IFERROR(J7/I7-1,0)</f>
        <v/>
      </c>
      <c r="AD7" s="12">
        <f>IFERROR(K7/J7-1,0)</f>
        <v/>
      </c>
      <c r="AE7" s="12">
        <f>IFERROR(L7/K7-1,0)</f>
        <v/>
      </c>
      <c r="AF7" s="12">
        <f>IFERROR(M7/L7-1,0)</f>
        <v/>
      </c>
      <c r="AG7" s="12">
        <f>IFERROR(N7/M7-1,0)</f>
        <v/>
      </c>
      <c r="AH7" s="12">
        <f>IFERROR(O7/N7-1,0)</f>
        <v/>
      </c>
      <c r="AI7" s="12">
        <f>IFERROR(P7/O7-1,0)</f>
        <v/>
      </c>
      <c r="AJ7" s="12">
        <f>IFERROR(Q7/P7-1,0)</f>
        <v/>
      </c>
      <c r="AK7" s="12">
        <f>IFERROR(R7/Q7-1,0)</f>
        <v/>
      </c>
      <c r="AL7" s="12">
        <f>IFERROR(S7/R7-1,0)</f>
        <v/>
      </c>
      <c r="AM7" s="12">
        <f>IFERROR(T7/S7-1,0)</f>
        <v/>
      </c>
      <c r="AN7" s="12">
        <f>IFERROR(U7/T7-1,0)</f>
        <v/>
      </c>
      <c r="AO7" s="12">
        <f>IFERROR(V7/U7-1,0)</f>
        <v/>
      </c>
    </row>
    <row r="8" ht="15" customHeight="1" s="8">
      <c r="A8" s="7" t="inlineStr">
        <is>
          <t>USA</t>
        </is>
      </c>
      <c r="B8" s="7" t="inlineStr">
        <is>
          <t>By Product Format</t>
        </is>
      </c>
      <c r="C8" s="7" t="inlineStr">
        <is>
          <t>Tablet</t>
        </is>
      </c>
      <c r="D8" s="7" t="inlineStr">
        <is>
          <t>Tablet</t>
        </is>
      </c>
      <c r="E8" s="7" t="inlineStr">
        <is>
          <t>Tablet</t>
        </is>
      </c>
      <c r="F8" s="7" t="inlineStr">
        <is>
          <t>Mn Units</t>
        </is>
      </c>
      <c r="G8" s="11" t="n">
        <v>272.084743</v>
      </c>
      <c r="H8" s="11" t="n">
        <v>279.327331</v>
      </c>
      <c r="I8" s="11" t="n">
        <v>287.085985</v>
      </c>
      <c r="J8" s="11" t="n">
        <v>295.392401</v>
      </c>
      <c r="K8" s="11" t="n">
        <v>303.882174</v>
      </c>
      <c r="L8" s="11" t="n">
        <v>312.408771</v>
      </c>
      <c r="M8" s="11" t="n">
        <v>320.690983</v>
      </c>
      <c r="N8" s="11" t="n">
        <v>329.25482</v>
      </c>
      <c r="O8" s="11" t="n">
        <v>338.429632</v>
      </c>
      <c r="P8" s="11" t="n">
        <v>348.514997</v>
      </c>
      <c r="Q8" s="11" t="n">
        <v>359.44044</v>
      </c>
      <c r="R8" s="11" t="n">
        <v>370.777934</v>
      </c>
      <c r="S8" s="11" t="n">
        <v>382.18604</v>
      </c>
      <c r="T8" s="11" t="n">
        <v>393.655532</v>
      </c>
      <c r="U8" s="11" t="n">
        <v>405.007135</v>
      </c>
      <c r="V8" s="11" t="n">
        <v>416.173427</v>
      </c>
      <c r="X8" s="12">
        <f>IFERROR(RATE(4,,-G8,K8),0)</f>
        <v/>
      </c>
      <c r="Y8" s="12">
        <f>IFERROR(RATE(11,,-K8,V8),0)</f>
        <v/>
      </c>
      <c r="AA8" s="12">
        <f>IFERROR(H8/G8-1,0)</f>
        <v/>
      </c>
      <c r="AB8" s="12">
        <f>IFERROR(I8/H8-1,0)</f>
        <v/>
      </c>
      <c r="AC8" s="12">
        <f>IFERROR(J8/I8-1,0)</f>
        <v/>
      </c>
      <c r="AD8" s="12">
        <f>IFERROR(K8/J8-1,0)</f>
        <v/>
      </c>
      <c r="AE8" s="12">
        <f>IFERROR(L8/K8-1,0)</f>
        <v/>
      </c>
      <c r="AF8" s="12">
        <f>IFERROR(M8/L8-1,0)</f>
        <v/>
      </c>
      <c r="AG8" s="12">
        <f>IFERROR(N8/M8-1,0)</f>
        <v/>
      </c>
      <c r="AH8" s="12">
        <f>IFERROR(O8/N8-1,0)</f>
        <v/>
      </c>
      <c r="AI8" s="12">
        <f>IFERROR(P8/O8-1,0)</f>
        <v/>
      </c>
      <c r="AJ8" s="12">
        <f>IFERROR(Q8/P8-1,0)</f>
        <v/>
      </c>
      <c r="AK8" s="12">
        <f>IFERROR(R8/Q8-1,0)</f>
        <v/>
      </c>
      <c r="AL8" s="12">
        <f>IFERROR(S8/R8-1,0)</f>
        <v/>
      </c>
      <c r="AM8" s="12">
        <f>IFERROR(T8/S8-1,0)</f>
        <v/>
      </c>
      <c r="AN8" s="12">
        <f>IFERROR(U8/T8-1,0)</f>
        <v/>
      </c>
      <c r="AO8" s="12">
        <f>IFERROR(V8/U8-1,0)</f>
        <v/>
      </c>
    </row>
    <row r="9" ht="15" customHeight="1" s="8">
      <c r="A9" s="7" t="inlineStr">
        <is>
          <t>USA</t>
        </is>
      </c>
      <c r="B9" s="7" t="inlineStr">
        <is>
          <t>By Product Format</t>
        </is>
      </c>
      <c r="C9" s="7" t="inlineStr">
        <is>
          <t>Softgels</t>
        </is>
      </c>
      <c r="D9" s="7" t="inlineStr">
        <is>
          <t>Softgels</t>
        </is>
      </c>
      <c r="E9" s="7" t="inlineStr">
        <is>
          <t>Softgels</t>
        </is>
      </c>
      <c r="F9" s="7" t="inlineStr">
        <is>
          <t>Mn Units</t>
        </is>
      </c>
      <c r="G9" s="11" t="n">
        <v>169.765455</v>
      </c>
      <c r="H9" s="11" t="n">
        <v>177.625941</v>
      </c>
      <c r="I9" s="11" t="n">
        <v>185.89298</v>
      </c>
      <c r="J9" s="11" t="n">
        <v>194.346502</v>
      </c>
      <c r="K9" s="11" t="n">
        <v>202.905652</v>
      </c>
      <c r="L9" s="11" t="n">
        <v>211.782693</v>
      </c>
      <c r="M9" s="11" t="n">
        <v>221.315881</v>
      </c>
      <c r="N9" s="11" t="n">
        <v>231.896619</v>
      </c>
      <c r="O9" s="11" t="n">
        <v>243.571792</v>
      </c>
      <c r="P9" s="11" t="n">
        <v>255.697306</v>
      </c>
      <c r="Q9" s="11" t="n">
        <v>267.892104</v>
      </c>
      <c r="R9" s="11" t="n">
        <v>280.343794</v>
      </c>
      <c r="S9" s="11" t="n">
        <v>293.813572</v>
      </c>
      <c r="T9" s="11" t="n">
        <v>307.790418</v>
      </c>
      <c r="U9" s="11" t="n">
        <v>322.000484</v>
      </c>
      <c r="V9" s="11" t="n">
        <v>336.285114</v>
      </c>
      <c r="X9" s="12">
        <f>IFERROR(RATE(4,,-G9,K9),0)</f>
        <v/>
      </c>
      <c r="Y9" s="12">
        <f>IFERROR(RATE(11,,-K9,V9),0)</f>
        <v/>
      </c>
      <c r="AA9" s="12">
        <f>IFERROR(H9/G9-1,0)</f>
        <v/>
      </c>
      <c r="AB9" s="12">
        <f>IFERROR(I9/H9-1,0)</f>
        <v/>
      </c>
      <c r="AC9" s="12">
        <f>IFERROR(J9/I9-1,0)</f>
        <v/>
      </c>
      <c r="AD9" s="12">
        <f>IFERROR(K9/J9-1,0)</f>
        <v/>
      </c>
      <c r="AE9" s="12">
        <f>IFERROR(L9/K9-1,0)</f>
        <v/>
      </c>
      <c r="AF9" s="12">
        <f>IFERROR(M9/L9-1,0)</f>
        <v/>
      </c>
      <c r="AG9" s="12">
        <f>IFERROR(N9/M9-1,0)</f>
        <v/>
      </c>
      <c r="AH9" s="12">
        <f>IFERROR(O9/N9-1,0)</f>
        <v/>
      </c>
      <c r="AI9" s="12">
        <f>IFERROR(P9/O9-1,0)</f>
        <v/>
      </c>
      <c r="AJ9" s="12">
        <f>IFERROR(Q9/P9-1,0)</f>
        <v/>
      </c>
      <c r="AK9" s="12">
        <f>IFERROR(R9/Q9-1,0)</f>
        <v/>
      </c>
      <c r="AL9" s="12">
        <f>IFERROR(S9/R9-1,0)</f>
        <v/>
      </c>
      <c r="AM9" s="12">
        <f>IFERROR(T9/S9-1,0)</f>
        <v/>
      </c>
      <c r="AN9" s="12">
        <f>IFERROR(U9/T9-1,0)</f>
        <v/>
      </c>
      <c r="AO9" s="12">
        <f>IFERROR(V9/U9-1,0)</f>
        <v/>
      </c>
    </row>
    <row r="10" ht="15" customHeight="1" s="8">
      <c r="A10" s="7" t="inlineStr">
        <is>
          <t>USA</t>
        </is>
      </c>
      <c r="B10" s="7" t="inlineStr">
        <is>
          <t>By Product Format</t>
        </is>
      </c>
      <c r="C10" s="7" t="inlineStr">
        <is>
          <t>Gummies</t>
        </is>
      </c>
      <c r="D10" s="7" t="inlineStr">
        <is>
          <t>Gummies</t>
        </is>
      </c>
      <c r="E10" s="7" t="inlineStr">
        <is>
          <t>Gummies</t>
        </is>
      </c>
      <c r="F10" s="7" t="inlineStr">
        <is>
          <t>Mn Units</t>
        </is>
      </c>
      <c r="G10" s="11" t="n">
        <v>187.748122</v>
      </c>
      <c r="H10" s="11" t="n">
        <v>198.754506</v>
      </c>
      <c r="I10" s="11" t="n">
        <v>210.475472</v>
      </c>
      <c r="J10" s="11" t="n">
        <v>223.181428</v>
      </c>
      <c r="K10" s="11" t="n">
        <v>237.199565</v>
      </c>
      <c r="L10" s="11" t="n">
        <v>252.894773</v>
      </c>
      <c r="M10" s="11" t="n">
        <v>270.43821</v>
      </c>
      <c r="N10" s="11" t="n">
        <v>289.968303</v>
      </c>
      <c r="O10" s="11" t="n">
        <v>312.146652</v>
      </c>
      <c r="P10" s="11" t="n">
        <v>337.464906</v>
      </c>
      <c r="Q10" s="11" t="n">
        <v>366.517453</v>
      </c>
      <c r="R10" s="11" t="n">
        <v>399.635796</v>
      </c>
      <c r="S10" s="11" t="n">
        <v>436.427025</v>
      </c>
      <c r="T10" s="11" t="n">
        <v>476.605323</v>
      </c>
      <c r="U10" s="11" t="n">
        <v>519.188928</v>
      </c>
      <c r="V10" s="11" t="n">
        <v>564.434767</v>
      </c>
      <c r="X10" s="12">
        <f>IFERROR(RATE(4,,-G10,K10),0)</f>
        <v/>
      </c>
      <c r="Y10" s="12">
        <f>IFERROR(RATE(11,,-K10,V10),0)</f>
        <v/>
      </c>
      <c r="AA10" s="12">
        <f>IFERROR(H10/G10-1,0)</f>
        <v/>
      </c>
      <c r="AB10" s="12">
        <f>IFERROR(I10/H10-1,0)</f>
        <v/>
      </c>
      <c r="AC10" s="12">
        <f>IFERROR(J10/I10-1,0)</f>
        <v/>
      </c>
      <c r="AD10" s="12">
        <f>IFERROR(K10/J10-1,0)</f>
        <v/>
      </c>
      <c r="AE10" s="12">
        <f>IFERROR(L10/K10-1,0)</f>
        <v/>
      </c>
      <c r="AF10" s="12">
        <f>IFERROR(M10/L10-1,0)</f>
        <v/>
      </c>
      <c r="AG10" s="12">
        <f>IFERROR(N10/M10-1,0)</f>
        <v/>
      </c>
      <c r="AH10" s="12">
        <f>IFERROR(O10/N10-1,0)</f>
        <v/>
      </c>
      <c r="AI10" s="12">
        <f>IFERROR(P10/O10-1,0)</f>
        <v/>
      </c>
      <c r="AJ10" s="12">
        <f>IFERROR(Q10/P10-1,0)</f>
        <v/>
      </c>
      <c r="AK10" s="12">
        <f>IFERROR(R10/Q10-1,0)</f>
        <v/>
      </c>
      <c r="AL10" s="12">
        <f>IFERROR(S10/R10-1,0)</f>
        <v/>
      </c>
      <c r="AM10" s="12">
        <f>IFERROR(T10/S10-1,0)</f>
        <v/>
      </c>
      <c r="AN10" s="12">
        <f>IFERROR(U10/T10-1,0)</f>
        <v/>
      </c>
      <c r="AO10" s="12">
        <f>IFERROR(V10/U10-1,0)</f>
        <v/>
      </c>
    </row>
    <row r="11" ht="15" customHeight="1" s="8">
      <c r="A11" s="7" t="inlineStr">
        <is>
          <t>USA</t>
        </is>
      </c>
      <c r="B11" s="7" t="inlineStr">
        <is>
          <t>By Product Format</t>
        </is>
      </c>
      <c r="C11" s="7" t="inlineStr">
        <is>
          <t>Powder</t>
        </is>
      </c>
      <c r="D11" s="7" t="inlineStr">
        <is>
          <t>Powder</t>
        </is>
      </c>
      <c r="E11" s="7" t="inlineStr">
        <is>
          <t>Powder</t>
        </is>
      </c>
      <c r="F11" s="7" t="inlineStr">
        <is>
          <t>Mn Units</t>
        </is>
      </c>
      <c r="G11" s="11" t="n">
        <v>2.146248</v>
      </c>
      <c r="H11" s="11" t="n">
        <v>2.279606</v>
      </c>
      <c r="I11" s="11" t="n">
        <v>2.440457</v>
      </c>
      <c r="J11" s="11" t="n">
        <v>2.630649</v>
      </c>
      <c r="K11" s="11" t="n">
        <v>2.857826</v>
      </c>
      <c r="L11" s="11" t="n">
        <v>3.131944</v>
      </c>
      <c r="M11" s="11" t="n">
        <v>3.452608</v>
      </c>
      <c r="N11" s="11" t="n">
        <v>3.828429</v>
      </c>
      <c r="O11" s="11" t="n">
        <v>4.278166</v>
      </c>
      <c r="P11" s="11" t="n">
        <v>4.831454</v>
      </c>
      <c r="Q11" s="11" t="n">
        <v>5.50316</v>
      </c>
      <c r="R11" s="11" t="n">
        <v>6.286046</v>
      </c>
      <c r="S11" s="11" t="n">
        <v>7.153206</v>
      </c>
      <c r="T11" s="11" t="n">
        <v>8.120501000000001</v>
      </c>
      <c r="U11" s="11" t="n">
        <v>9.180921</v>
      </c>
      <c r="V11" s="11" t="n">
        <v>10.338683</v>
      </c>
      <c r="X11" s="12">
        <f>IFERROR(RATE(4,,-G11,K11),0)</f>
        <v/>
      </c>
      <c r="Y11" s="12">
        <f>IFERROR(RATE(11,,-K11,V11),0)</f>
        <v/>
      </c>
      <c r="AA11" s="12">
        <f>IFERROR(H11/G11-1,0)</f>
        <v/>
      </c>
      <c r="AB11" s="12">
        <f>IFERROR(I11/H11-1,0)</f>
        <v/>
      </c>
      <c r="AC11" s="12">
        <f>IFERROR(J11/I11-1,0)</f>
        <v/>
      </c>
      <c r="AD11" s="12">
        <f>IFERROR(K11/J11-1,0)</f>
        <v/>
      </c>
      <c r="AE11" s="12">
        <f>IFERROR(L11/K11-1,0)</f>
        <v/>
      </c>
      <c r="AF11" s="12">
        <f>IFERROR(M11/L11-1,0)</f>
        <v/>
      </c>
      <c r="AG11" s="12">
        <f>IFERROR(N11/M11-1,0)</f>
        <v/>
      </c>
      <c r="AH11" s="12">
        <f>IFERROR(O11/N11-1,0)</f>
        <v/>
      </c>
      <c r="AI11" s="12">
        <f>IFERROR(P11/O11-1,0)</f>
        <v/>
      </c>
      <c r="AJ11" s="12">
        <f>IFERROR(Q11/P11-1,0)</f>
        <v/>
      </c>
      <c r="AK11" s="12">
        <f>IFERROR(R11/Q11-1,0)</f>
        <v/>
      </c>
      <c r="AL11" s="12">
        <f>IFERROR(S11/R11-1,0)</f>
        <v/>
      </c>
      <c r="AM11" s="12">
        <f>IFERROR(T11/S11-1,0)</f>
        <v/>
      </c>
      <c r="AN11" s="12">
        <f>IFERROR(U11/T11-1,0)</f>
        <v/>
      </c>
      <c r="AO11" s="12">
        <f>IFERROR(V11/U11-1,0)</f>
        <v/>
      </c>
    </row>
    <row r="12" ht="15" customHeight="1" s="8">
      <c r="A12" s="7" t="inlineStr">
        <is>
          <t>USA</t>
        </is>
      </c>
      <c r="B12" s="7" t="inlineStr">
        <is>
          <t>By Product Format</t>
        </is>
      </c>
      <c r="C12" s="7" t="inlineStr">
        <is>
          <t>Bar</t>
        </is>
      </c>
      <c r="D12" s="7" t="inlineStr">
        <is>
          <t>Bar</t>
        </is>
      </c>
      <c r="E12" s="7" t="inlineStr">
        <is>
          <t>Bar</t>
        </is>
      </c>
      <c r="F12" s="7" t="inlineStr">
        <is>
          <t>Mn Units</t>
        </is>
      </c>
      <c r="G12" s="11" t="n">
        <v>1.537971</v>
      </c>
      <c r="H12" s="11" t="n">
        <v>1.62941</v>
      </c>
      <c r="I12" s="11" t="n">
        <v>1.718751</v>
      </c>
      <c r="J12" s="11" t="n">
        <v>1.809584</v>
      </c>
      <c r="K12" s="11" t="n">
        <v>1.905218</v>
      </c>
      <c r="L12" s="11" t="n">
        <v>2.021448</v>
      </c>
      <c r="M12" s="11" t="n">
        <v>2.166939</v>
      </c>
      <c r="N12" s="11" t="n">
        <v>2.348152</v>
      </c>
      <c r="O12" s="11" t="n">
        <v>2.567054</v>
      </c>
      <c r="P12" s="11" t="n">
        <v>2.825719</v>
      </c>
      <c r="Q12" s="11" t="n">
        <v>3.12381</v>
      </c>
      <c r="R12" s="11" t="n">
        <v>3.464659</v>
      </c>
      <c r="S12" s="11" t="n">
        <v>3.846409</v>
      </c>
      <c r="T12" s="11" t="n">
        <v>4.268112</v>
      </c>
      <c r="U12" s="11" t="n">
        <v>4.726807</v>
      </c>
      <c r="V12" s="11" t="n">
        <v>5.222286</v>
      </c>
      <c r="X12" s="12">
        <f>IFERROR(RATE(4,,-G12,K12),0)</f>
        <v/>
      </c>
      <c r="Y12" s="12">
        <f>IFERROR(RATE(11,,-K12,V12),0)</f>
        <v/>
      </c>
      <c r="AA12" s="12">
        <f>IFERROR(H12/G12-1,0)</f>
        <v/>
      </c>
      <c r="AB12" s="12">
        <f>IFERROR(I12/H12-1,0)</f>
        <v/>
      </c>
      <c r="AC12" s="12">
        <f>IFERROR(J12/I12-1,0)</f>
        <v/>
      </c>
      <c r="AD12" s="12">
        <f>IFERROR(K12/J12-1,0)</f>
        <v/>
      </c>
      <c r="AE12" s="12">
        <f>IFERROR(L12/K12-1,0)</f>
        <v/>
      </c>
      <c r="AF12" s="12">
        <f>IFERROR(M12/L12-1,0)</f>
        <v/>
      </c>
      <c r="AG12" s="12">
        <f>IFERROR(N12/M12-1,0)</f>
        <v/>
      </c>
      <c r="AH12" s="12">
        <f>IFERROR(O12/N12-1,0)</f>
        <v/>
      </c>
      <c r="AI12" s="12">
        <f>IFERROR(P12/O12-1,0)</f>
        <v/>
      </c>
      <c r="AJ12" s="12">
        <f>IFERROR(Q12/P12-1,0)</f>
        <v/>
      </c>
      <c r="AK12" s="12">
        <f>IFERROR(R12/Q12-1,0)</f>
        <v/>
      </c>
      <c r="AL12" s="12">
        <f>IFERROR(S12/R12-1,0)</f>
        <v/>
      </c>
      <c r="AM12" s="12">
        <f>IFERROR(T12/S12-1,0)</f>
        <v/>
      </c>
      <c r="AN12" s="12">
        <f>IFERROR(U12/T12-1,0)</f>
        <v/>
      </c>
      <c r="AO12" s="12">
        <f>IFERROR(V12/U12-1,0)</f>
        <v/>
      </c>
    </row>
    <row r="13" ht="15" customHeight="1" s="8">
      <c r="A13" s="7" t="inlineStr">
        <is>
          <t>USA</t>
        </is>
      </c>
      <c r="B13" s="7" t="inlineStr">
        <is>
          <t>By Product Format</t>
        </is>
      </c>
      <c r="C13" s="7" t="inlineStr">
        <is>
          <t>Liquid</t>
        </is>
      </c>
      <c r="D13" s="7" t="inlineStr">
        <is>
          <t>Liquid</t>
        </is>
      </c>
      <c r="E13" s="7" t="inlineStr">
        <is>
          <t>Liquid</t>
        </is>
      </c>
      <c r="F13" s="7" t="inlineStr">
        <is>
          <t>Mn Units</t>
        </is>
      </c>
      <c r="G13" s="11" t="n">
        <v>5.147155</v>
      </c>
      <c r="H13" s="11" t="n">
        <v>5.712822</v>
      </c>
      <c r="I13" s="11" t="n">
        <v>6.317084</v>
      </c>
      <c r="J13" s="11" t="n">
        <v>6.947241</v>
      </c>
      <c r="K13" s="11" t="n">
        <v>7.62087</v>
      </c>
      <c r="L13" s="11" t="n">
        <v>8.382223</v>
      </c>
      <c r="M13" s="11" t="n">
        <v>9.265682</v>
      </c>
      <c r="N13" s="11" t="n">
        <v>10.307035</v>
      </c>
      <c r="O13" s="11" t="n">
        <v>11.501672</v>
      </c>
      <c r="P13" s="11" t="n">
        <v>12.821632</v>
      </c>
      <c r="Q13" s="11" t="n">
        <v>14.272347</v>
      </c>
      <c r="R13" s="11" t="n">
        <v>15.885056</v>
      </c>
      <c r="S13" s="11" t="n">
        <v>17.698469</v>
      </c>
      <c r="T13" s="11" t="n">
        <v>19.708847</v>
      </c>
      <c r="U13" s="11" t="n">
        <v>21.892447</v>
      </c>
      <c r="V13" s="11" t="n">
        <v>24.258234</v>
      </c>
      <c r="X13" s="12">
        <f>IFERROR(RATE(4,,-G13,K13),0)</f>
        <v/>
      </c>
      <c r="Y13" s="12">
        <f>IFERROR(RATE(11,,-K13,V13),0)</f>
        <v/>
      </c>
      <c r="AA13" s="12">
        <f>IFERROR(H13/G13-1,0)</f>
        <v/>
      </c>
      <c r="AB13" s="12">
        <f>IFERROR(I13/H13-1,0)</f>
        <v/>
      </c>
      <c r="AC13" s="12">
        <f>IFERROR(J13/I13-1,0)</f>
        <v/>
      </c>
      <c r="AD13" s="12">
        <f>IFERROR(K13/J13-1,0)</f>
        <v/>
      </c>
      <c r="AE13" s="12">
        <f>IFERROR(L13/K13-1,0)</f>
        <v/>
      </c>
      <c r="AF13" s="12">
        <f>IFERROR(M13/L13-1,0)</f>
        <v/>
      </c>
      <c r="AG13" s="12">
        <f>IFERROR(N13/M13-1,0)</f>
        <v/>
      </c>
      <c r="AH13" s="12">
        <f>IFERROR(O13/N13-1,0)</f>
        <v/>
      </c>
      <c r="AI13" s="12">
        <f>IFERROR(P13/O13-1,0)</f>
        <v/>
      </c>
      <c r="AJ13" s="12">
        <f>IFERROR(Q13/P13-1,0)</f>
        <v/>
      </c>
      <c r="AK13" s="12">
        <f>IFERROR(R13/Q13-1,0)</f>
        <v/>
      </c>
      <c r="AL13" s="12">
        <f>IFERROR(S13/R13-1,0)</f>
        <v/>
      </c>
      <c r="AM13" s="12">
        <f>IFERROR(T13/S13-1,0)</f>
        <v/>
      </c>
      <c r="AN13" s="12">
        <f>IFERROR(U13/T13-1,0)</f>
        <v/>
      </c>
      <c r="AO13" s="12">
        <f>IFERROR(V13/U13-1,0)</f>
        <v/>
      </c>
    </row>
    <row r="14" ht="15" customHeight="1" s="8">
      <c r="A14" s="7" t="inlineStr">
        <is>
          <t>USA</t>
        </is>
      </c>
      <c r="B14" s="7" t="inlineStr">
        <is>
          <t>By Product Format</t>
        </is>
      </c>
      <c r="C14" s="7" t="inlineStr">
        <is>
          <t>Capsule</t>
        </is>
      </c>
      <c r="D14" s="7" t="inlineStr">
        <is>
          <t>Capsule</t>
        </is>
      </c>
      <c r="E14" s="7" t="inlineStr">
        <is>
          <t>Capsule</t>
        </is>
      </c>
      <c r="F14" s="7" t="inlineStr">
        <is>
          <t>US$ Mn</t>
        </is>
      </c>
      <c r="G14" s="13" t="n">
        <v>32.9263503440119</v>
      </c>
      <c r="H14" s="13" t="n">
        <v>35.0505413571588</v>
      </c>
      <c r="I14" s="13" t="n">
        <v>37.2509696006705</v>
      </c>
      <c r="J14" s="13" t="n">
        <v>39.5042431393293</v>
      </c>
      <c r="K14" s="13" t="n">
        <v>41.8547122488606</v>
      </c>
      <c r="L14" s="13" t="n">
        <v>44.5867921089297</v>
      </c>
      <c r="M14" s="13" t="n">
        <v>47.6650278426753</v>
      </c>
      <c r="N14" s="13" t="n">
        <v>51.1779490126101</v>
      </c>
      <c r="O14" s="13" t="n">
        <v>55.2690356418852</v>
      </c>
      <c r="P14" s="13" t="n">
        <v>59.9868355450599</v>
      </c>
      <c r="Q14" s="13" t="n">
        <v>65.12562787240429</v>
      </c>
      <c r="R14" s="13" t="n">
        <v>70.5922537029914</v>
      </c>
      <c r="S14" s="13" t="n">
        <v>76.294655538005</v>
      </c>
      <c r="T14" s="13" t="n">
        <v>82.2822354877448</v>
      </c>
      <c r="U14" s="13" t="n">
        <v>88.6149556254296</v>
      </c>
      <c r="V14" s="13" t="n">
        <v>95.3291298719727</v>
      </c>
      <c r="X14" s="12">
        <f>IFERROR(RATE(4,,-G14,K14),0)</f>
        <v/>
      </c>
      <c r="Y14" s="12">
        <f>IFERROR(RATE(11,,-K14,V14),0)</f>
        <v/>
      </c>
      <c r="AA14" s="12">
        <f>IFERROR(H14/G14-1,0)</f>
        <v/>
      </c>
      <c r="AB14" s="12">
        <f>IFERROR(I14/H14-1,0)</f>
        <v/>
      </c>
      <c r="AC14" s="12">
        <f>IFERROR(J14/I14-1,0)</f>
        <v/>
      </c>
      <c r="AD14" s="12">
        <f>IFERROR(K14/J14-1,0)</f>
        <v/>
      </c>
      <c r="AE14" s="12">
        <f>IFERROR(L14/K14-1,0)</f>
        <v/>
      </c>
      <c r="AF14" s="12">
        <f>IFERROR(M14/L14-1,0)</f>
        <v/>
      </c>
      <c r="AG14" s="12">
        <f>IFERROR(N14/M14-1,0)</f>
        <v/>
      </c>
      <c r="AH14" s="12">
        <f>IFERROR(O14/N14-1,0)</f>
        <v/>
      </c>
      <c r="AI14" s="12">
        <f>IFERROR(P14/O14-1,0)</f>
        <v/>
      </c>
      <c r="AJ14" s="12">
        <f>IFERROR(Q14/P14-1,0)</f>
        <v/>
      </c>
      <c r="AK14" s="12">
        <f>IFERROR(R14/Q14-1,0)</f>
        <v/>
      </c>
      <c r="AL14" s="12">
        <f>IFERROR(S14/R14-1,0)</f>
        <v/>
      </c>
      <c r="AM14" s="12">
        <f>IFERROR(T14/S14-1,0)</f>
        <v/>
      </c>
      <c r="AN14" s="12">
        <f>IFERROR(U14/T14-1,0)</f>
        <v/>
      </c>
      <c r="AO14" s="12">
        <f>IFERROR(V14/U14-1,0)</f>
        <v/>
      </c>
    </row>
    <row r="15" ht="15" customHeight="1" s="8">
      <c r="A15" s="7" t="inlineStr">
        <is>
          <t>USA</t>
        </is>
      </c>
      <c r="B15" s="7" t="inlineStr">
        <is>
          <t>By Product Format</t>
        </is>
      </c>
      <c r="C15" s="7" t="inlineStr">
        <is>
          <t>Tablet</t>
        </is>
      </c>
      <c r="D15" s="7" t="inlineStr">
        <is>
          <t>Tablet</t>
        </is>
      </c>
      <c r="E15" s="7" t="inlineStr">
        <is>
          <t>Tablet</t>
        </is>
      </c>
      <c r="F15" s="7" t="inlineStr">
        <is>
          <t>US$ Mn</t>
        </is>
      </c>
      <c r="G15" s="13" t="n">
        <v>70.38292907924721</v>
      </c>
      <c r="H15" s="13" t="n">
        <v>72.43402388720349</v>
      </c>
      <c r="I15" s="13" t="n">
        <v>74.6482724217545</v>
      </c>
      <c r="J15" s="13" t="n">
        <v>77.0607540540403</v>
      </c>
      <c r="K15" s="13" t="n">
        <v>79.54427124044351</v>
      </c>
      <c r="L15" s="13" t="n">
        <v>82.2557502036465</v>
      </c>
      <c r="M15" s="13" t="n">
        <v>84.97838864333239</v>
      </c>
      <c r="N15" s="13" t="n">
        <v>87.859847140368</v>
      </c>
      <c r="O15" s="13" t="n">
        <v>90.9647424719508</v>
      </c>
      <c r="P15" s="13" t="n">
        <v>94.3959726523272</v>
      </c>
      <c r="Q15" s="13" t="n">
        <v>98.1434390068849</v>
      </c>
      <c r="R15" s="13" t="n">
        <v>102.115966732757</v>
      </c>
      <c r="S15" s="13" t="n">
        <v>106.210398289516</v>
      </c>
      <c r="T15" s="13" t="n">
        <v>110.445345224504</v>
      </c>
      <c r="U15" s="13" t="n">
        <v>114.777106156332</v>
      </c>
      <c r="V15" s="13" t="n">
        <v>119.176198076198</v>
      </c>
      <c r="X15" s="12">
        <f>IFERROR(RATE(4,,-G15,K15),0)</f>
        <v/>
      </c>
      <c r="Y15" s="12">
        <f>IFERROR(RATE(11,,-K15,V15),0)</f>
        <v/>
      </c>
      <c r="AA15" s="12">
        <f>IFERROR(H15/G15-1,0)</f>
        <v/>
      </c>
      <c r="AB15" s="12">
        <f>IFERROR(I15/H15-1,0)</f>
        <v/>
      </c>
      <c r="AC15" s="12">
        <f>IFERROR(J15/I15-1,0)</f>
        <v/>
      </c>
      <c r="AD15" s="12">
        <f>IFERROR(K15/J15-1,0)</f>
        <v/>
      </c>
      <c r="AE15" s="12">
        <f>IFERROR(L15/K15-1,0)</f>
        <v/>
      </c>
      <c r="AF15" s="12">
        <f>IFERROR(M15/L15-1,0)</f>
        <v/>
      </c>
      <c r="AG15" s="12">
        <f>IFERROR(N15/M15-1,0)</f>
        <v/>
      </c>
      <c r="AH15" s="12">
        <f>IFERROR(O15/N15-1,0)</f>
        <v/>
      </c>
      <c r="AI15" s="12">
        <f>IFERROR(P15/O15-1,0)</f>
        <v/>
      </c>
      <c r="AJ15" s="12">
        <f>IFERROR(Q15/P15-1,0)</f>
        <v/>
      </c>
      <c r="AK15" s="12">
        <f>IFERROR(R15/Q15-1,0)</f>
        <v/>
      </c>
      <c r="AL15" s="12">
        <f>IFERROR(S15/R15-1,0)</f>
        <v/>
      </c>
      <c r="AM15" s="12">
        <f>IFERROR(T15/S15-1,0)</f>
        <v/>
      </c>
      <c r="AN15" s="12">
        <f>IFERROR(U15/T15-1,0)</f>
        <v/>
      </c>
      <c r="AO15" s="12">
        <f>IFERROR(V15/U15-1,0)</f>
        <v/>
      </c>
    </row>
    <row r="16" ht="15" customHeight="1" s="8">
      <c r="A16" s="7" t="inlineStr">
        <is>
          <t>USA</t>
        </is>
      </c>
      <c r="B16" s="7" t="inlineStr">
        <is>
          <t>By Product Format</t>
        </is>
      </c>
      <c r="C16" s="7" t="inlineStr">
        <is>
          <t>Softgels</t>
        </is>
      </c>
      <c r="D16" s="7" t="inlineStr">
        <is>
          <t>Softgels</t>
        </is>
      </c>
      <c r="E16" s="7" t="inlineStr">
        <is>
          <t>Softgels</t>
        </is>
      </c>
      <c r="F16" s="7" t="inlineStr">
        <is>
          <t>US$ Mn</t>
        </is>
      </c>
      <c r="G16" s="13" t="n">
        <v>36.0046695963835</v>
      </c>
      <c r="H16" s="13" t="n">
        <v>37.7143782017622</v>
      </c>
      <c r="I16" s="13" t="n">
        <v>39.5190491812018</v>
      </c>
      <c r="J16" s="13" t="n">
        <v>41.3793705615445</v>
      </c>
      <c r="K16" s="13" t="n">
        <v>43.2769597824884</v>
      </c>
      <c r="L16" s="13" t="n">
        <v>45.3306441176239</v>
      </c>
      <c r="M16" s="13" t="n">
        <v>47.568438380794</v>
      </c>
      <c r="N16" s="13" t="n">
        <v>50.0721218646464</v>
      </c>
      <c r="O16" s="13" t="n">
        <v>52.8464302115936</v>
      </c>
      <c r="P16" s="13" t="n">
        <v>55.7780329813265</v>
      </c>
      <c r="Q16" s="13" t="n">
        <v>58.7664806590355</v>
      </c>
      <c r="R16" s="13" t="n">
        <v>61.8776518062903</v>
      </c>
      <c r="S16" s="13" t="n">
        <v>65.27909647753179</v>
      </c>
      <c r="T16" s="13" t="n">
        <v>68.8647676606225</v>
      </c>
      <c r="U16" s="13" t="n">
        <v>72.5912336700826</v>
      </c>
      <c r="V16" s="13" t="n">
        <v>76.41934316045599</v>
      </c>
      <c r="X16" s="12">
        <f>IFERROR(RATE(4,,-G16,K16),0)</f>
        <v/>
      </c>
      <c r="Y16" s="12">
        <f>IFERROR(RATE(11,,-K16,V16),0)</f>
        <v/>
      </c>
      <c r="AA16" s="12">
        <f>IFERROR(H16/G16-1,0)</f>
        <v/>
      </c>
      <c r="AB16" s="12">
        <f>IFERROR(I16/H16-1,0)</f>
        <v/>
      </c>
      <c r="AC16" s="12">
        <f>IFERROR(J16/I16-1,0)</f>
        <v/>
      </c>
      <c r="AD16" s="12">
        <f>IFERROR(K16/J16-1,0)</f>
        <v/>
      </c>
      <c r="AE16" s="12">
        <f>IFERROR(L16/K16-1,0)</f>
        <v/>
      </c>
      <c r="AF16" s="12">
        <f>IFERROR(M16/L16-1,0)</f>
        <v/>
      </c>
      <c r="AG16" s="12">
        <f>IFERROR(N16/M16-1,0)</f>
        <v/>
      </c>
      <c r="AH16" s="12">
        <f>IFERROR(O16/N16-1,0)</f>
        <v/>
      </c>
      <c r="AI16" s="12">
        <f>IFERROR(P16/O16-1,0)</f>
        <v/>
      </c>
      <c r="AJ16" s="12">
        <f>IFERROR(Q16/P16-1,0)</f>
        <v/>
      </c>
      <c r="AK16" s="12">
        <f>IFERROR(R16/Q16-1,0)</f>
        <v/>
      </c>
      <c r="AL16" s="12">
        <f>IFERROR(S16/R16-1,0)</f>
        <v/>
      </c>
      <c r="AM16" s="12">
        <f>IFERROR(T16/S16-1,0)</f>
        <v/>
      </c>
      <c r="AN16" s="12">
        <f>IFERROR(U16/T16-1,0)</f>
        <v/>
      </c>
      <c r="AO16" s="12">
        <f>IFERROR(V16/U16-1,0)</f>
        <v/>
      </c>
    </row>
    <row r="17" ht="15" customHeight="1" s="8">
      <c r="A17" s="7" t="inlineStr">
        <is>
          <t>USA</t>
        </is>
      </c>
      <c r="B17" s="7" t="inlineStr">
        <is>
          <t>By Product Format</t>
        </is>
      </c>
      <c r="C17" s="7" t="inlineStr">
        <is>
          <t>Gummies</t>
        </is>
      </c>
      <c r="D17" s="7" t="inlineStr">
        <is>
          <t>Gummies</t>
        </is>
      </c>
      <c r="E17" s="7" t="inlineStr">
        <is>
          <t>Gummies</t>
        </is>
      </c>
      <c r="F17" s="7" t="inlineStr">
        <is>
          <t>US$ Mn</t>
        </is>
      </c>
      <c r="G17" s="13" t="n">
        <v>34.3743375309907</v>
      </c>
      <c r="H17" s="13" t="n">
        <v>36.4352740880072</v>
      </c>
      <c r="I17" s="13" t="n">
        <v>38.637640075879</v>
      </c>
      <c r="J17" s="13" t="n">
        <v>41.0391335624397</v>
      </c>
      <c r="K17" s="13" t="n">
        <v>43.692551583183</v>
      </c>
      <c r="L17" s="13" t="n">
        <v>46.7412566138559</v>
      </c>
      <c r="M17" s="13" t="n">
        <v>50.1798059151293</v>
      </c>
      <c r="N17" s="13" t="n">
        <v>54.0281902452446</v>
      </c>
      <c r="O17" s="13" t="n">
        <v>58.4377476612531</v>
      </c>
      <c r="P17" s="13" t="n">
        <v>63.4917054590654</v>
      </c>
      <c r="Q17" s="13" t="n">
        <v>69.3396045498183</v>
      </c>
      <c r="R17" s="13" t="n">
        <v>76.0687795114271</v>
      </c>
      <c r="S17" s="13" t="n">
        <v>83.6027056315084</v>
      </c>
      <c r="T17" s="13" t="n">
        <v>91.9219756179681</v>
      </c>
      <c r="U17" s="13" t="n">
        <v>100.840658025408</v>
      </c>
      <c r="V17" s="13" t="n">
        <v>110.422024551997</v>
      </c>
      <c r="X17" s="12">
        <f>IFERROR(RATE(4,,-G17,K17),0)</f>
        <v/>
      </c>
      <c r="Y17" s="12">
        <f>IFERROR(RATE(11,,-K17,V17),0)</f>
        <v/>
      </c>
      <c r="AA17" s="12">
        <f>IFERROR(H17/G17-1,0)</f>
        <v/>
      </c>
      <c r="AB17" s="12">
        <f>IFERROR(I17/H17-1,0)</f>
        <v/>
      </c>
      <c r="AC17" s="12">
        <f>IFERROR(J17/I17-1,0)</f>
        <v/>
      </c>
      <c r="AD17" s="12">
        <f>IFERROR(K17/J17-1,0)</f>
        <v/>
      </c>
      <c r="AE17" s="12">
        <f>IFERROR(L17/K17-1,0)</f>
        <v/>
      </c>
      <c r="AF17" s="12">
        <f>IFERROR(M17/L17-1,0)</f>
        <v/>
      </c>
      <c r="AG17" s="12">
        <f>IFERROR(N17/M17-1,0)</f>
        <v/>
      </c>
      <c r="AH17" s="12">
        <f>IFERROR(O17/N17-1,0)</f>
        <v/>
      </c>
      <c r="AI17" s="12">
        <f>IFERROR(P17/O17-1,0)</f>
        <v/>
      </c>
      <c r="AJ17" s="12">
        <f>IFERROR(Q17/P17-1,0)</f>
        <v/>
      </c>
      <c r="AK17" s="12">
        <f>IFERROR(R17/Q17-1,0)</f>
        <v/>
      </c>
      <c r="AL17" s="12">
        <f>IFERROR(S17/R17-1,0)</f>
        <v/>
      </c>
      <c r="AM17" s="12">
        <f>IFERROR(T17/S17-1,0)</f>
        <v/>
      </c>
      <c r="AN17" s="12">
        <f>IFERROR(U17/T17-1,0)</f>
        <v/>
      </c>
      <c r="AO17" s="12">
        <f>IFERROR(V17/U17-1,0)</f>
        <v/>
      </c>
    </row>
    <row r="18" ht="15" customHeight="1" s="8">
      <c r="A18" s="7" t="inlineStr">
        <is>
          <t>USA</t>
        </is>
      </c>
      <c r="B18" s="7" t="inlineStr">
        <is>
          <t>By Product Format</t>
        </is>
      </c>
      <c r="C18" s="7" t="inlineStr">
        <is>
          <t>Powder</t>
        </is>
      </c>
      <c r="D18" s="7" t="inlineStr">
        <is>
          <t>Powder</t>
        </is>
      </c>
      <c r="E18" s="7" t="inlineStr">
        <is>
          <t>Powder</t>
        </is>
      </c>
      <c r="F18" s="7" t="inlineStr">
        <is>
          <t>US$ Mn</t>
        </is>
      </c>
      <c r="G18" s="13" t="n">
        <v>1.93962271157603</v>
      </c>
      <c r="H18" s="13" t="n">
        <v>2.06371611260214</v>
      </c>
      <c r="I18" s="13" t="n">
        <v>2.213571965125</v>
      </c>
      <c r="J18" s="13" t="n">
        <v>2.39162253380939</v>
      </c>
      <c r="K18" s="13" t="n">
        <v>2.60437522359829</v>
      </c>
      <c r="L18" s="13" t="n">
        <v>2.8663413481662</v>
      </c>
      <c r="M18" s="13" t="n">
        <v>3.17435150124943</v>
      </c>
      <c r="N18" s="13" t="n">
        <v>3.53839181316673</v>
      </c>
      <c r="O18" s="13" t="n">
        <v>3.97850168422366</v>
      </c>
      <c r="P18" s="13" t="n">
        <v>4.52343997152557</v>
      </c>
      <c r="Q18" s="13" t="n">
        <v>5.19066891658409</v>
      </c>
      <c r="R18" s="13" t="n">
        <v>5.97685223280741</v>
      </c>
      <c r="S18" s="13" t="n">
        <v>6.86040444999705</v>
      </c>
      <c r="T18" s="13" t="n">
        <v>7.86070706662378</v>
      </c>
      <c r="U18" s="13" t="n">
        <v>8.97612012495282</v>
      </c>
      <c r="V18" s="13" t="n">
        <v>10.2158259219482</v>
      </c>
      <c r="X18" s="12">
        <f>IFERROR(RATE(4,,-G18,K18),0)</f>
        <v/>
      </c>
      <c r="Y18" s="12">
        <f>IFERROR(RATE(11,,-K18,V18),0)</f>
        <v/>
      </c>
      <c r="AA18" s="12">
        <f>IFERROR(H18/G18-1,0)</f>
        <v/>
      </c>
      <c r="AB18" s="12">
        <f>IFERROR(I18/H18-1,0)</f>
        <v/>
      </c>
      <c r="AC18" s="12">
        <f>IFERROR(J18/I18-1,0)</f>
        <v/>
      </c>
      <c r="AD18" s="12">
        <f>IFERROR(K18/J18-1,0)</f>
        <v/>
      </c>
      <c r="AE18" s="12">
        <f>IFERROR(L18/K18-1,0)</f>
        <v/>
      </c>
      <c r="AF18" s="12">
        <f>IFERROR(M18/L18-1,0)</f>
        <v/>
      </c>
      <c r="AG18" s="12">
        <f>IFERROR(N18/M18-1,0)</f>
        <v/>
      </c>
      <c r="AH18" s="12">
        <f>IFERROR(O18/N18-1,0)</f>
        <v/>
      </c>
      <c r="AI18" s="12">
        <f>IFERROR(P18/O18-1,0)</f>
        <v/>
      </c>
      <c r="AJ18" s="12">
        <f>IFERROR(Q18/P18-1,0)</f>
        <v/>
      </c>
      <c r="AK18" s="12">
        <f>IFERROR(R18/Q18-1,0)</f>
        <v/>
      </c>
      <c r="AL18" s="12">
        <f>IFERROR(S18/R18-1,0)</f>
        <v/>
      </c>
      <c r="AM18" s="12">
        <f>IFERROR(T18/S18-1,0)</f>
        <v/>
      </c>
      <c r="AN18" s="12">
        <f>IFERROR(U18/T18-1,0)</f>
        <v/>
      </c>
      <c r="AO18" s="12">
        <f>IFERROR(V18/U18-1,0)</f>
        <v/>
      </c>
    </row>
    <row r="19" ht="15" customHeight="1" s="8">
      <c r="A19" s="7" t="inlineStr">
        <is>
          <t>USA</t>
        </is>
      </c>
      <c r="B19" s="7" t="inlineStr">
        <is>
          <t>By Product Format</t>
        </is>
      </c>
      <c r="C19" s="7" t="inlineStr">
        <is>
          <t>Bar</t>
        </is>
      </c>
      <c r="D19" s="7" t="inlineStr">
        <is>
          <t>Bar</t>
        </is>
      </c>
      <c r="E19" s="7" t="inlineStr">
        <is>
          <t>Bar</t>
        </is>
      </c>
      <c r="F19" s="7" t="inlineStr">
        <is>
          <t>US$ Mn</t>
        </is>
      </c>
      <c r="G19" s="13" t="n">
        <v>2.59797078095229</v>
      </c>
      <c r="H19" s="13" t="n">
        <v>2.75817593327755</v>
      </c>
      <c r="I19" s="13" t="n">
        <v>2.91612170607065</v>
      </c>
      <c r="J19" s="13" t="n">
        <v>3.07880984847174</v>
      </c>
      <c r="K19" s="13" t="n">
        <v>3.25085248045719</v>
      </c>
      <c r="L19" s="13" t="n">
        <v>3.46586822207051</v>
      </c>
      <c r="M19" s="13" t="n">
        <v>3.7340796336121</v>
      </c>
      <c r="N19" s="13" t="n">
        <v>4.06775168355191</v>
      </c>
      <c r="O19" s="13" t="n">
        <v>4.47294087066228</v>
      </c>
      <c r="P19" s="13" t="n">
        <v>4.95329385674184</v>
      </c>
      <c r="Q19" s="13" t="n">
        <v>5.509858291717</v>
      </c>
      <c r="R19" s="13" t="n">
        <v>6.15105551979239</v>
      </c>
      <c r="S19" s="13" t="n">
        <v>6.87489887122076</v>
      </c>
      <c r="T19" s="13" t="n">
        <v>7.68164151722391</v>
      </c>
      <c r="U19" s="13" t="n">
        <v>8.569590930074151</v>
      </c>
      <c r="V19" s="13" t="n">
        <v>9.5392999525147</v>
      </c>
      <c r="X19" s="12">
        <f>IFERROR(RATE(4,,-G19,K19),0)</f>
        <v/>
      </c>
      <c r="Y19" s="12">
        <f>IFERROR(RATE(11,,-K19,V19),0)</f>
        <v/>
      </c>
      <c r="AA19" s="12">
        <f>IFERROR(H19/G19-1,0)</f>
        <v/>
      </c>
      <c r="AB19" s="12">
        <f>IFERROR(I19/H19-1,0)</f>
        <v/>
      </c>
      <c r="AC19" s="12">
        <f>IFERROR(J19/I19-1,0)</f>
        <v/>
      </c>
      <c r="AD19" s="12">
        <f>IFERROR(K19/J19-1,0)</f>
        <v/>
      </c>
      <c r="AE19" s="12">
        <f>IFERROR(L19/K19-1,0)</f>
        <v/>
      </c>
      <c r="AF19" s="12">
        <f>IFERROR(M19/L19-1,0)</f>
        <v/>
      </c>
      <c r="AG19" s="12">
        <f>IFERROR(N19/M19-1,0)</f>
        <v/>
      </c>
      <c r="AH19" s="12">
        <f>IFERROR(O19/N19-1,0)</f>
        <v/>
      </c>
      <c r="AI19" s="12">
        <f>IFERROR(P19/O19-1,0)</f>
        <v/>
      </c>
      <c r="AJ19" s="12">
        <f>IFERROR(Q19/P19-1,0)</f>
        <v/>
      </c>
      <c r="AK19" s="12">
        <f>IFERROR(R19/Q19-1,0)</f>
        <v/>
      </c>
      <c r="AL19" s="12">
        <f>IFERROR(S19/R19-1,0)</f>
        <v/>
      </c>
      <c r="AM19" s="12">
        <f>IFERROR(T19/S19-1,0)</f>
        <v/>
      </c>
      <c r="AN19" s="12">
        <f>IFERROR(U19/T19-1,0)</f>
        <v/>
      </c>
      <c r="AO19" s="12">
        <f>IFERROR(V19/U19-1,0)</f>
        <v/>
      </c>
    </row>
    <row r="20" ht="15" customHeight="1" s="8">
      <c r="A20" s="7" t="inlineStr">
        <is>
          <t>USA</t>
        </is>
      </c>
      <c r="B20" s="7" t="inlineStr">
        <is>
          <t>By Product Format</t>
        </is>
      </c>
      <c r="C20" s="7" t="inlineStr">
        <is>
          <t>Liquid</t>
        </is>
      </c>
      <c r="D20" s="7" t="inlineStr">
        <is>
          <t>Liquid</t>
        </is>
      </c>
      <c r="E20" s="7" t="inlineStr">
        <is>
          <t>Liquid</t>
        </is>
      </c>
      <c r="F20" s="7" t="inlineStr">
        <is>
          <t>US$ Mn</t>
        </is>
      </c>
      <c r="G20" s="13" t="n">
        <v>3.2691788957832</v>
      </c>
      <c r="H20" s="13" t="n">
        <v>3.63402781209983</v>
      </c>
      <c r="I20" s="13" t="n">
        <v>4.02522987293838</v>
      </c>
      <c r="J20" s="13" t="n">
        <v>4.43585848591918</v>
      </c>
      <c r="K20" s="13" t="n">
        <v>4.87627744096905</v>
      </c>
      <c r="L20" s="13" t="n">
        <v>5.38556647142446</v>
      </c>
      <c r="M20" s="13" t="n">
        <v>5.98166757965385</v>
      </c>
      <c r="N20" s="13" t="n">
        <v>6.68780536590782</v>
      </c>
      <c r="O20" s="13" t="n">
        <v>7.50632968102775</v>
      </c>
      <c r="P20" s="13" t="n">
        <v>8.41850149190681</v>
      </c>
      <c r="Q20" s="13" t="n">
        <v>9.434302915117691</v>
      </c>
      <c r="R20" s="13" t="n">
        <v>10.5788671748059</v>
      </c>
      <c r="S20" s="13" t="n">
        <v>11.8783907307436</v>
      </c>
      <c r="T20" s="13" t="n">
        <v>13.3376728522658</v>
      </c>
      <c r="U20" s="13" t="n">
        <v>14.9427125309432</v>
      </c>
      <c r="V20" s="13" t="n">
        <v>16.7036100608515</v>
      </c>
      <c r="X20" s="12">
        <f>IFERROR(RATE(4,,-G20,K20),0)</f>
        <v/>
      </c>
      <c r="Y20" s="12">
        <f>IFERROR(RATE(11,,-K20,V20),0)</f>
        <v/>
      </c>
      <c r="AA20" s="12">
        <f>IFERROR(H20/G20-1,0)</f>
        <v/>
      </c>
      <c r="AB20" s="12">
        <f>IFERROR(I20/H20-1,0)</f>
        <v/>
      </c>
      <c r="AC20" s="12">
        <f>IFERROR(J20/I20-1,0)</f>
        <v/>
      </c>
      <c r="AD20" s="12">
        <f>IFERROR(K20/J20-1,0)</f>
        <v/>
      </c>
      <c r="AE20" s="12">
        <f>IFERROR(L20/K20-1,0)</f>
        <v/>
      </c>
      <c r="AF20" s="12">
        <f>IFERROR(M20/L20-1,0)</f>
        <v/>
      </c>
      <c r="AG20" s="12">
        <f>IFERROR(N20/M20-1,0)</f>
        <v/>
      </c>
      <c r="AH20" s="12">
        <f>IFERROR(O20/N20-1,0)</f>
        <v/>
      </c>
      <c r="AI20" s="12">
        <f>IFERROR(P20/O20-1,0)</f>
        <v/>
      </c>
      <c r="AJ20" s="12">
        <f>IFERROR(Q20/P20-1,0)</f>
        <v/>
      </c>
      <c r="AK20" s="12">
        <f>IFERROR(R20/Q20-1,0)</f>
        <v/>
      </c>
      <c r="AL20" s="12">
        <f>IFERROR(S20/R20-1,0)</f>
        <v/>
      </c>
      <c r="AM20" s="12">
        <f>IFERROR(T20/S20-1,0)</f>
        <v/>
      </c>
      <c r="AN20" s="12">
        <f>IFERROR(U20/T20-1,0)</f>
        <v/>
      </c>
      <c r="AO20" s="12">
        <f>IFERROR(V20/U20-1,0)</f>
        <v/>
      </c>
    </row>
    <row r="21" ht="15" customHeight="1" s="8">
      <c r="A21" s="7" t="inlineStr">
        <is>
          <t>USA</t>
        </is>
      </c>
      <c r="B21" s="7" t="inlineStr">
        <is>
          <t>By Product Type</t>
        </is>
      </c>
      <c r="C21" s="7" t="inlineStr">
        <is>
          <t>Multivitamin</t>
        </is>
      </c>
      <c r="D21" s="7" t="inlineStr">
        <is>
          <t>Multivitamin</t>
        </is>
      </c>
      <c r="E21" s="7" t="inlineStr">
        <is>
          <t>Multivitamin</t>
        </is>
      </c>
      <c r="F21" s="7" t="inlineStr">
        <is>
          <t>Mn Units</t>
        </is>
      </c>
      <c r="G21" s="11" t="n">
        <v>488.958249</v>
      </c>
      <c r="H21" s="11" t="n">
        <v>510.697923</v>
      </c>
      <c r="I21" s="11" t="n">
        <v>533.940201</v>
      </c>
      <c r="J21" s="11" t="n">
        <v>558.635664</v>
      </c>
      <c r="K21" s="11" t="n">
        <v>584.901739</v>
      </c>
      <c r="L21" s="11" t="n">
        <v>613.0964750000001</v>
      </c>
      <c r="M21" s="11" t="n">
        <v>643.3753819999999</v>
      </c>
      <c r="N21" s="11" t="n">
        <v>676.33307</v>
      </c>
      <c r="O21" s="11" t="n">
        <v>712.4944410000001</v>
      </c>
      <c r="P21" s="11" t="n">
        <v>751.790487</v>
      </c>
      <c r="Q21" s="11" t="n">
        <v>793.930156</v>
      </c>
      <c r="R21" s="11" t="n">
        <v>838.655873</v>
      </c>
      <c r="S21" s="11" t="n">
        <v>885.91935</v>
      </c>
      <c r="T21" s="11" t="n">
        <v>935.207719</v>
      </c>
      <c r="U21" s="11" t="n">
        <v>985.7338569999999</v>
      </c>
      <c r="V21" s="11" t="n">
        <v>1037.486132</v>
      </c>
      <c r="X21" s="12">
        <f>IFERROR(RATE(4,,-G21,K21),0)</f>
        <v/>
      </c>
      <c r="Y21" s="12">
        <f>IFERROR(RATE(11,,-K21,V21),0)</f>
        <v/>
      </c>
      <c r="AA21" s="12">
        <f>IFERROR(H21/G21-1,0)</f>
        <v/>
      </c>
      <c r="AB21" s="12">
        <f>IFERROR(I21/H21-1,0)</f>
        <v/>
      </c>
      <c r="AC21" s="12">
        <f>IFERROR(J21/I21-1,0)</f>
        <v/>
      </c>
      <c r="AD21" s="12">
        <f>IFERROR(K21/J21-1,0)</f>
        <v/>
      </c>
      <c r="AE21" s="12">
        <f>IFERROR(L21/K21-1,0)</f>
        <v/>
      </c>
      <c r="AF21" s="12">
        <f>IFERROR(M21/L21-1,0)</f>
        <v/>
      </c>
      <c r="AG21" s="12">
        <f>IFERROR(N21/M21-1,0)</f>
        <v/>
      </c>
      <c r="AH21" s="12">
        <f>IFERROR(O21/N21-1,0)</f>
        <v/>
      </c>
      <c r="AI21" s="12">
        <f>IFERROR(P21/O21-1,0)</f>
        <v/>
      </c>
      <c r="AJ21" s="12">
        <f>IFERROR(Q21/P21-1,0)</f>
        <v/>
      </c>
      <c r="AK21" s="12">
        <f>IFERROR(R21/Q21-1,0)</f>
        <v/>
      </c>
      <c r="AL21" s="12">
        <f>IFERROR(S21/R21-1,0)</f>
        <v/>
      </c>
      <c r="AM21" s="12">
        <f>IFERROR(T21/S21-1,0)</f>
        <v/>
      </c>
      <c r="AN21" s="12">
        <f>IFERROR(U21/T21-1,0)</f>
        <v/>
      </c>
      <c r="AO21" s="12">
        <f>IFERROR(V21/U21-1,0)</f>
        <v/>
      </c>
    </row>
    <row r="22" ht="15" customHeight="1" s="8">
      <c r="A22" s="7" t="inlineStr">
        <is>
          <t>USA</t>
        </is>
      </c>
      <c r="B22" s="7" t="inlineStr">
        <is>
          <t>By Product Type</t>
        </is>
      </c>
      <c r="C22" s="7" t="inlineStr">
        <is>
          <t>DHA / Omega-3</t>
        </is>
      </c>
      <c r="D22" s="7" t="inlineStr">
        <is>
          <t>DHA / Omega-3</t>
        </is>
      </c>
      <c r="E22" s="7" t="inlineStr">
        <is>
          <t>DHA / Omega-3</t>
        </is>
      </c>
      <c r="F22" s="7" t="inlineStr">
        <is>
          <t>Mn Units</t>
        </is>
      </c>
      <c r="G22" s="11" t="n">
        <v>96.98897599999999</v>
      </c>
      <c r="H22" s="11" t="n">
        <v>102.85858</v>
      </c>
      <c r="I22" s="11" t="n">
        <v>108.850089</v>
      </c>
      <c r="J22" s="11" t="n">
        <v>114.848341</v>
      </c>
      <c r="K22" s="11" t="n">
        <v>120.981304</v>
      </c>
      <c r="L22" s="11" t="n">
        <v>127.666556</v>
      </c>
      <c r="M22" s="11" t="n">
        <v>135.056575</v>
      </c>
      <c r="N22" s="11" t="n">
        <v>143.442352</v>
      </c>
      <c r="O22" s="11" t="n">
        <v>153.373189</v>
      </c>
      <c r="P22" s="11" t="n">
        <v>164.942604</v>
      </c>
      <c r="Q22" s="11" t="n">
        <v>177.621771</v>
      </c>
      <c r="R22" s="11" t="n">
        <v>191.149665</v>
      </c>
      <c r="S22" s="11" t="n">
        <v>205.208301</v>
      </c>
      <c r="T22" s="11" t="n">
        <v>219.818738</v>
      </c>
      <c r="U22" s="11" t="n">
        <v>235.014394</v>
      </c>
      <c r="V22" s="11" t="n">
        <v>250.867954</v>
      </c>
      <c r="X22" s="12">
        <f>IFERROR(RATE(4,,-G22,K22),0)</f>
        <v/>
      </c>
      <c r="Y22" s="12">
        <f>IFERROR(RATE(11,,-K22,V22),0)</f>
        <v/>
      </c>
      <c r="AA22" s="12">
        <f>IFERROR(H22/G22-1,0)</f>
        <v/>
      </c>
      <c r="AB22" s="12">
        <f>IFERROR(I22/H22-1,0)</f>
        <v/>
      </c>
      <c r="AC22" s="12">
        <f>IFERROR(J22/I22-1,0)</f>
        <v/>
      </c>
      <c r="AD22" s="12">
        <f>IFERROR(K22/J22-1,0)</f>
        <v/>
      </c>
      <c r="AE22" s="12">
        <f>IFERROR(L22/K22-1,0)</f>
        <v/>
      </c>
      <c r="AF22" s="12">
        <f>IFERROR(M22/L22-1,0)</f>
        <v/>
      </c>
      <c r="AG22" s="12">
        <f>IFERROR(N22/M22-1,0)</f>
        <v/>
      </c>
      <c r="AH22" s="12">
        <f>IFERROR(O22/N22-1,0)</f>
        <v/>
      </c>
      <c r="AI22" s="12">
        <f>IFERROR(P22/O22-1,0)</f>
        <v/>
      </c>
      <c r="AJ22" s="12">
        <f>IFERROR(Q22/P22-1,0)</f>
        <v/>
      </c>
      <c r="AK22" s="12">
        <f>IFERROR(R22/Q22-1,0)</f>
        <v/>
      </c>
      <c r="AL22" s="12">
        <f>IFERROR(S22/R22-1,0)</f>
        <v/>
      </c>
      <c r="AM22" s="12">
        <f>IFERROR(T22/S22-1,0)</f>
        <v/>
      </c>
      <c r="AN22" s="12">
        <f>IFERROR(U22/T22-1,0)</f>
        <v/>
      </c>
      <c r="AO22" s="12">
        <f>IFERROR(V22/U22-1,0)</f>
        <v/>
      </c>
    </row>
    <row r="23" ht="15" customHeight="1" s="8">
      <c r="A23" s="7" t="inlineStr">
        <is>
          <t>USA</t>
        </is>
      </c>
      <c r="B23" s="7" t="inlineStr">
        <is>
          <t>By Product Type</t>
        </is>
      </c>
      <c r="C23" s="7" t="inlineStr">
        <is>
          <t>Iron</t>
        </is>
      </c>
      <c r="D23" s="7" t="inlineStr">
        <is>
          <t>Iron</t>
        </is>
      </c>
      <c r="E23" s="7" t="inlineStr">
        <is>
          <t>Iron</t>
        </is>
      </c>
      <c r="F23" s="7" t="inlineStr">
        <is>
          <t>Mn Units</t>
        </is>
      </c>
      <c r="G23" s="11" t="n">
        <v>61.89999</v>
      </c>
      <c r="H23" s="11" t="n">
        <v>63.883134</v>
      </c>
      <c r="I23" s="11" t="n">
        <v>65.991266</v>
      </c>
      <c r="J23" s="11" t="n">
        <v>68.233288</v>
      </c>
      <c r="K23" s="11" t="n">
        <v>70.493044</v>
      </c>
      <c r="L23" s="11" t="n">
        <v>72.740287</v>
      </c>
      <c r="M23" s="11" t="n">
        <v>74.90490699999999</v>
      </c>
      <c r="N23" s="11" t="n">
        <v>77.17272</v>
      </c>
      <c r="O23" s="11" t="n">
        <v>79.72471</v>
      </c>
      <c r="P23" s="11" t="n">
        <v>82.665109</v>
      </c>
      <c r="Q23" s="11" t="n">
        <v>85.966611</v>
      </c>
      <c r="R23" s="11" t="n">
        <v>89.51311800000001</v>
      </c>
      <c r="S23" s="11" t="n">
        <v>93.178605</v>
      </c>
      <c r="T23" s="11" t="n">
        <v>96.93948899999999</v>
      </c>
      <c r="U23" s="11" t="n">
        <v>100.708984</v>
      </c>
      <c r="V23" s="11" t="n">
        <v>104.470085</v>
      </c>
      <c r="X23" s="12">
        <f>IFERROR(RATE(4,,-G23,K23),0)</f>
        <v/>
      </c>
      <c r="Y23" s="12">
        <f>IFERROR(RATE(11,,-K23,V23),0)</f>
        <v/>
      </c>
      <c r="AA23" s="12">
        <f>IFERROR(H23/G23-1,0)</f>
        <v/>
      </c>
      <c r="AB23" s="12">
        <f>IFERROR(I23/H23-1,0)</f>
        <v/>
      </c>
      <c r="AC23" s="12">
        <f>IFERROR(J23/I23-1,0)</f>
        <v/>
      </c>
      <c r="AD23" s="12">
        <f>IFERROR(K23/J23-1,0)</f>
        <v/>
      </c>
      <c r="AE23" s="12">
        <f>IFERROR(L23/K23-1,0)</f>
        <v/>
      </c>
      <c r="AF23" s="12">
        <f>IFERROR(M23/L23-1,0)</f>
        <v/>
      </c>
      <c r="AG23" s="12">
        <f>IFERROR(N23/M23-1,0)</f>
        <v/>
      </c>
      <c r="AH23" s="12">
        <f>IFERROR(O23/N23-1,0)</f>
        <v/>
      </c>
      <c r="AI23" s="12">
        <f>IFERROR(P23/O23-1,0)</f>
        <v/>
      </c>
      <c r="AJ23" s="12">
        <f>IFERROR(Q23/P23-1,0)</f>
        <v/>
      </c>
      <c r="AK23" s="12">
        <f>IFERROR(R23/Q23-1,0)</f>
        <v/>
      </c>
      <c r="AL23" s="12">
        <f>IFERROR(S23/R23-1,0)</f>
        <v/>
      </c>
      <c r="AM23" s="12">
        <f>IFERROR(T23/S23-1,0)</f>
        <v/>
      </c>
      <c r="AN23" s="12">
        <f>IFERROR(U23/T23-1,0)</f>
        <v/>
      </c>
      <c r="AO23" s="12">
        <f>IFERROR(V23/U23-1,0)</f>
        <v/>
      </c>
    </row>
    <row r="24" ht="15" customHeight="1" s="8">
      <c r="A24" s="7" t="inlineStr">
        <is>
          <t>USA</t>
        </is>
      </c>
      <c r="B24" s="7" t="inlineStr">
        <is>
          <t>By Product Type</t>
        </is>
      </c>
      <c r="C24" s="7" t="inlineStr">
        <is>
          <t>Folate / Folic Acid</t>
        </is>
      </c>
      <c r="D24" s="7" t="inlineStr">
        <is>
          <t>Folate / Folic Acid</t>
        </is>
      </c>
      <c r="E24" s="7" t="inlineStr">
        <is>
          <t>Folate / Folic Acid</t>
        </is>
      </c>
      <c r="F24" s="7" t="inlineStr">
        <is>
          <t>Mn Units</t>
        </is>
      </c>
      <c r="G24" s="11" t="n">
        <v>50.493793</v>
      </c>
      <c r="H24" s="11" t="n">
        <v>52.569572</v>
      </c>
      <c r="I24" s="11" t="n">
        <v>54.724306</v>
      </c>
      <c r="J24" s="11" t="n">
        <v>56.902012</v>
      </c>
      <c r="K24" s="11" t="n">
        <v>59.061739</v>
      </c>
      <c r="L24" s="11" t="n">
        <v>61.26029</v>
      </c>
      <c r="M24" s="11" t="n">
        <v>63.579636</v>
      </c>
      <c r="N24" s="11" t="n">
        <v>66.153809</v>
      </c>
      <c r="O24" s="11" t="n">
        <v>69.072633</v>
      </c>
      <c r="P24" s="11" t="n">
        <v>72.20434</v>
      </c>
      <c r="Q24" s="11" t="n">
        <v>75.44967699999999</v>
      </c>
      <c r="R24" s="11" t="n">
        <v>78.84801899999999</v>
      </c>
      <c r="S24" s="11" t="n">
        <v>82.546537</v>
      </c>
      <c r="T24" s="11" t="n">
        <v>86.406817</v>
      </c>
      <c r="U24" s="11" t="n">
        <v>90.33134699999999</v>
      </c>
      <c r="V24" s="11" t="n">
        <v>94.285796</v>
      </c>
      <c r="X24" s="12">
        <f>IFERROR(RATE(4,,-G24,K24),0)</f>
        <v/>
      </c>
      <c r="Y24" s="12">
        <f>IFERROR(RATE(11,,-K24,V24),0)</f>
        <v/>
      </c>
      <c r="AA24" s="12">
        <f>IFERROR(H24/G24-1,0)</f>
        <v/>
      </c>
      <c r="AB24" s="12">
        <f>IFERROR(I24/H24-1,0)</f>
        <v/>
      </c>
      <c r="AC24" s="12">
        <f>IFERROR(J24/I24-1,0)</f>
        <v/>
      </c>
      <c r="AD24" s="12">
        <f>IFERROR(K24/J24-1,0)</f>
        <v/>
      </c>
      <c r="AE24" s="12">
        <f>IFERROR(L24/K24-1,0)</f>
        <v/>
      </c>
      <c r="AF24" s="12">
        <f>IFERROR(M24/L24-1,0)</f>
        <v/>
      </c>
      <c r="AG24" s="12">
        <f>IFERROR(N24/M24-1,0)</f>
        <v/>
      </c>
      <c r="AH24" s="12">
        <f>IFERROR(O24/N24-1,0)</f>
        <v/>
      </c>
      <c r="AI24" s="12">
        <f>IFERROR(P24/O24-1,0)</f>
        <v/>
      </c>
      <c r="AJ24" s="12">
        <f>IFERROR(Q24/P24-1,0)</f>
        <v/>
      </c>
      <c r="AK24" s="12">
        <f>IFERROR(R24/Q24-1,0)</f>
        <v/>
      </c>
      <c r="AL24" s="12">
        <f>IFERROR(S24/R24-1,0)</f>
        <v/>
      </c>
      <c r="AM24" s="12">
        <f>IFERROR(T24/S24-1,0)</f>
        <v/>
      </c>
      <c r="AN24" s="12">
        <f>IFERROR(U24/T24-1,0)</f>
        <v/>
      </c>
      <c r="AO24" s="12">
        <f>IFERROR(V24/U24-1,0)</f>
        <v/>
      </c>
    </row>
    <row r="25" ht="15" customHeight="1" s="8">
      <c r="A25" s="7" t="inlineStr">
        <is>
          <t>USA</t>
        </is>
      </c>
      <c r="B25" s="7" t="inlineStr">
        <is>
          <t>By Product Type</t>
        </is>
      </c>
      <c r="C25" s="7" t="inlineStr">
        <is>
          <t>Choline</t>
        </is>
      </c>
      <c r="D25" s="7" t="inlineStr">
        <is>
          <t>Choline</t>
        </is>
      </c>
      <c r="E25" s="7" t="inlineStr">
        <is>
          <t>Choline</t>
        </is>
      </c>
      <c r="F25" s="7" t="inlineStr">
        <is>
          <t>Mn Units</t>
        </is>
      </c>
      <c r="G25" s="11" t="n">
        <v>26.103892</v>
      </c>
      <c r="H25" s="11" t="n">
        <v>28.285759</v>
      </c>
      <c r="I25" s="11" t="n">
        <v>30.654184</v>
      </c>
      <c r="J25" s="11" t="n">
        <v>33.270195</v>
      </c>
      <c r="K25" s="11" t="n">
        <v>36.19913</v>
      </c>
      <c r="L25" s="11" t="n">
        <v>39.535574</v>
      </c>
      <c r="M25" s="11" t="n">
        <v>43.336856</v>
      </c>
      <c r="N25" s="11" t="n">
        <v>47.687771</v>
      </c>
      <c r="O25" s="11" t="n">
        <v>52.833563</v>
      </c>
      <c r="P25" s="11" t="n">
        <v>58.967295</v>
      </c>
      <c r="Q25" s="11" t="n">
        <v>66.305002</v>
      </c>
      <c r="R25" s="11" t="n">
        <v>75.02730099999999</v>
      </c>
      <c r="S25" s="11" t="n">
        <v>85.11944800000001</v>
      </c>
      <c r="T25" s="11" t="n">
        <v>96.592778</v>
      </c>
      <c r="U25" s="11" t="n">
        <v>109.230578</v>
      </c>
      <c r="V25" s="11" t="n">
        <v>123.172559</v>
      </c>
      <c r="X25" s="12">
        <f>IFERROR(RATE(4,,-G25,K25),0)</f>
        <v/>
      </c>
      <c r="Y25" s="12">
        <f>IFERROR(RATE(11,,-K25,V25),0)</f>
        <v/>
      </c>
      <c r="AA25" s="12">
        <f>IFERROR(H25/G25-1,0)</f>
        <v/>
      </c>
      <c r="AB25" s="12">
        <f>IFERROR(I25/H25-1,0)</f>
        <v/>
      </c>
      <c r="AC25" s="12">
        <f>IFERROR(J25/I25-1,0)</f>
        <v/>
      </c>
      <c r="AD25" s="12">
        <f>IFERROR(K25/J25-1,0)</f>
        <v/>
      </c>
      <c r="AE25" s="12">
        <f>IFERROR(L25/K25-1,0)</f>
        <v/>
      </c>
      <c r="AF25" s="12">
        <f>IFERROR(M25/L25-1,0)</f>
        <v/>
      </c>
      <c r="AG25" s="12">
        <f>IFERROR(N25/M25-1,0)</f>
        <v/>
      </c>
      <c r="AH25" s="12">
        <f>IFERROR(O25/N25-1,0)</f>
        <v/>
      </c>
      <c r="AI25" s="12">
        <f>IFERROR(P25/O25-1,0)</f>
        <v/>
      </c>
      <c r="AJ25" s="12">
        <f>IFERROR(Q25/P25-1,0)</f>
        <v/>
      </c>
      <c r="AK25" s="12">
        <f>IFERROR(R25/Q25-1,0)</f>
        <v/>
      </c>
      <c r="AL25" s="12">
        <f>IFERROR(S25/R25-1,0)</f>
        <v/>
      </c>
      <c r="AM25" s="12">
        <f>IFERROR(T25/S25-1,0)</f>
        <v/>
      </c>
      <c r="AN25" s="12">
        <f>IFERROR(U25/T25-1,0)</f>
        <v/>
      </c>
      <c r="AO25" s="12">
        <f>IFERROR(V25/U25-1,0)</f>
        <v/>
      </c>
    </row>
    <row r="26" ht="15" customHeight="1" s="8">
      <c r="A26" s="7" t="inlineStr">
        <is>
          <t>USA</t>
        </is>
      </c>
      <c r="B26" s="7" t="inlineStr">
        <is>
          <t>By Product Type</t>
        </is>
      </c>
      <c r="C26" s="7" t="inlineStr">
        <is>
          <t>Calcium &amp; Mineral</t>
        </is>
      </c>
      <c r="D26" s="7" t="inlineStr">
        <is>
          <t>Calcium &amp; Mineral</t>
        </is>
      </c>
      <c r="E26" s="7" t="inlineStr">
        <is>
          <t>Calcium &amp; Mineral</t>
        </is>
      </c>
      <c r="F26" s="7" t="inlineStr">
        <is>
          <t>Mn Units</t>
        </is>
      </c>
      <c r="G26" s="11" t="n">
        <v>44.118731</v>
      </c>
      <c r="H26" s="11" t="n">
        <v>45.284028</v>
      </c>
      <c r="I26" s="11" t="n">
        <v>46.42529</v>
      </c>
      <c r="J26" s="11" t="n">
        <v>47.520733</v>
      </c>
      <c r="K26" s="11" t="n">
        <v>48.583044</v>
      </c>
      <c r="L26" s="11" t="n">
        <v>49.676567</v>
      </c>
      <c r="M26" s="11" t="n">
        <v>50.833464</v>
      </c>
      <c r="N26" s="11" t="n">
        <v>52.109557</v>
      </c>
      <c r="O26" s="11" t="n">
        <v>53.535613</v>
      </c>
      <c r="P26" s="11" t="n">
        <v>55.07632</v>
      </c>
      <c r="Q26" s="11" t="n">
        <v>56.715206</v>
      </c>
      <c r="R26" s="11" t="n">
        <v>58.462853</v>
      </c>
      <c r="S26" s="11" t="n">
        <v>60.311251</v>
      </c>
      <c r="T26" s="11" t="n">
        <v>62.225874</v>
      </c>
      <c r="U26" s="11" t="n">
        <v>64.152711</v>
      </c>
      <c r="V26" s="11" t="n">
        <v>66.092664</v>
      </c>
      <c r="X26" s="12">
        <f>IFERROR(RATE(4,,-G26,K26),0)</f>
        <v/>
      </c>
      <c r="Y26" s="12">
        <f>IFERROR(RATE(11,,-K26,V26),0)</f>
        <v/>
      </c>
      <c r="AA26" s="12">
        <f>IFERROR(H26/G26-1,0)</f>
        <v/>
      </c>
      <c r="AB26" s="12">
        <f>IFERROR(I26/H26-1,0)</f>
        <v/>
      </c>
      <c r="AC26" s="12">
        <f>IFERROR(J26/I26-1,0)</f>
        <v/>
      </c>
      <c r="AD26" s="12">
        <f>IFERROR(K26/J26-1,0)</f>
        <v/>
      </c>
      <c r="AE26" s="12">
        <f>IFERROR(L26/K26-1,0)</f>
        <v/>
      </c>
      <c r="AF26" s="12">
        <f>IFERROR(M26/L26-1,0)</f>
        <v/>
      </c>
      <c r="AG26" s="12">
        <f>IFERROR(N26/M26-1,0)</f>
        <v/>
      </c>
      <c r="AH26" s="12">
        <f>IFERROR(O26/N26-1,0)</f>
        <v/>
      </c>
      <c r="AI26" s="12">
        <f>IFERROR(P26/O26-1,0)</f>
        <v/>
      </c>
      <c r="AJ26" s="12">
        <f>IFERROR(Q26/P26-1,0)</f>
        <v/>
      </c>
      <c r="AK26" s="12">
        <f>IFERROR(R26/Q26-1,0)</f>
        <v/>
      </c>
      <c r="AL26" s="12">
        <f>IFERROR(S26/R26-1,0)</f>
        <v/>
      </c>
      <c r="AM26" s="12">
        <f>IFERROR(T26/S26-1,0)</f>
        <v/>
      </c>
      <c r="AN26" s="12">
        <f>IFERROR(U26/T26-1,0)</f>
        <v/>
      </c>
      <c r="AO26" s="12">
        <f>IFERROR(V26/U26-1,0)</f>
        <v/>
      </c>
    </row>
    <row r="27" ht="15" customHeight="1" s="8">
      <c r="A27" s="7" t="inlineStr">
        <is>
          <t>USA</t>
        </is>
      </c>
      <c r="B27" s="7" t="inlineStr">
        <is>
          <t>By Product Type</t>
        </is>
      </c>
      <c r="C27" s="7" t="inlineStr">
        <is>
          <t>Probiotic</t>
        </is>
      </c>
      <c r="D27" s="7" t="inlineStr">
        <is>
          <t>Probiotic</t>
        </is>
      </c>
      <c r="E27" s="7" t="inlineStr">
        <is>
          <t>Probiotic</t>
        </is>
      </c>
      <c r="F27" s="7" t="inlineStr">
        <is>
          <t>Mn Units</t>
        </is>
      </c>
      <c r="G27" s="11" t="n">
        <v>26.444948</v>
      </c>
      <c r="H27" s="11" t="n">
        <v>27.941976</v>
      </c>
      <c r="I27" s="11" t="n">
        <v>29.397288</v>
      </c>
      <c r="J27" s="11" t="n">
        <v>30.866367</v>
      </c>
      <c r="K27" s="11" t="n">
        <v>32.388696</v>
      </c>
      <c r="L27" s="11" t="n">
        <v>34.209583</v>
      </c>
      <c r="M27" s="11" t="n">
        <v>36.458571</v>
      </c>
      <c r="N27" s="11" t="n">
        <v>39.25216</v>
      </c>
      <c r="O27" s="11" t="n">
        <v>42.663785</v>
      </c>
      <c r="P27" s="11" t="n">
        <v>46.739514</v>
      </c>
      <c r="Q27" s="11" t="n">
        <v>51.472061</v>
      </c>
      <c r="R27" s="11" t="n">
        <v>56.913788</v>
      </c>
      <c r="S27" s="11" t="n">
        <v>63.019917</v>
      </c>
      <c r="T27" s="11" t="n">
        <v>69.76672600000001</v>
      </c>
      <c r="U27" s="11" t="n">
        <v>77.085159</v>
      </c>
      <c r="V27" s="11" t="n">
        <v>84.97427399999999</v>
      </c>
      <c r="X27" s="12">
        <f>IFERROR(RATE(4,,-G27,K27),0)</f>
        <v/>
      </c>
      <c r="Y27" s="12">
        <f>IFERROR(RATE(11,,-K27,V27),0)</f>
        <v/>
      </c>
      <c r="AA27" s="12">
        <f>IFERROR(H27/G27-1,0)</f>
        <v/>
      </c>
      <c r="AB27" s="12">
        <f>IFERROR(I27/H27-1,0)</f>
        <v/>
      </c>
      <c r="AC27" s="12">
        <f>IFERROR(J27/I27-1,0)</f>
        <v/>
      </c>
      <c r="AD27" s="12">
        <f>IFERROR(K27/J27-1,0)</f>
        <v/>
      </c>
      <c r="AE27" s="12">
        <f>IFERROR(L27/K27-1,0)</f>
        <v/>
      </c>
      <c r="AF27" s="12">
        <f>IFERROR(M27/L27-1,0)</f>
        <v/>
      </c>
      <c r="AG27" s="12">
        <f>IFERROR(N27/M27-1,0)</f>
        <v/>
      </c>
      <c r="AH27" s="12">
        <f>IFERROR(O27/N27-1,0)</f>
        <v/>
      </c>
      <c r="AI27" s="12">
        <f>IFERROR(P27/O27-1,0)</f>
        <v/>
      </c>
      <c r="AJ27" s="12">
        <f>IFERROR(Q27/P27-1,0)</f>
        <v/>
      </c>
      <c r="AK27" s="12">
        <f>IFERROR(R27/Q27-1,0)</f>
        <v/>
      </c>
      <c r="AL27" s="12">
        <f>IFERROR(S27/R27-1,0)</f>
        <v/>
      </c>
      <c r="AM27" s="12">
        <f>IFERROR(T27/S27-1,0)</f>
        <v/>
      </c>
      <c r="AN27" s="12">
        <f>IFERROR(U27/T27-1,0)</f>
        <v/>
      </c>
      <c r="AO27" s="12">
        <f>IFERROR(V27/U27-1,0)</f>
        <v/>
      </c>
    </row>
    <row r="28" ht="15" customHeight="1" s="8">
      <c r="A28" s="7" t="inlineStr">
        <is>
          <t>USA</t>
        </is>
      </c>
      <c r="B28" s="7" t="inlineStr">
        <is>
          <t>By Product Type</t>
        </is>
      </c>
      <c r="C28" s="7" t="inlineStr">
        <is>
          <t>Multivitamin</t>
        </is>
      </c>
      <c r="D28" s="7" t="inlineStr">
        <is>
          <t>Multivitamin</t>
        </is>
      </c>
      <c r="E28" s="7" t="inlineStr">
        <is>
          <t>Multivitamin</t>
        </is>
      </c>
      <c r="F28" s="7" t="inlineStr">
        <is>
          <t>US$ Mn</t>
        </is>
      </c>
      <c r="G28" s="13" t="n">
        <v>111.625847273955</v>
      </c>
      <c r="H28" s="13" t="n">
        <v>116.748274087952</v>
      </c>
      <c r="I28" s="13" t="n">
        <v>122.262998054908</v>
      </c>
      <c r="J28" s="13" t="n">
        <v>128.195416382668</v>
      </c>
      <c r="K28" s="13" t="n">
        <v>134.52739992088</v>
      </c>
      <c r="L28" s="13" t="n">
        <v>141.656860715001</v>
      </c>
      <c r="M28" s="13" t="n">
        <v>149.417386868784</v>
      </c>
      <c r="N28" s="13" t="n">
        <v>157.972677212194</v>
      </c>
      <c r="O28" s="13" t="n">
        <v>167.440304235366</v>
      </c>
      <c r="P28" s="13" t="n">
        <v>177.852481163459</v>
      </c>
      <c r="Q28" s="13" t="n">
        <v>189.158427194793</v>
      </c>
      <c r="R28" s="13" t="n">
        <v>201.34051152659</v>
      </c>
      <c r="S28" s="13" t="n">
        <v>214.378746274201</v>
      </c>
      <c r="T28" s="13" t="n">
        <v>228.224439560979</v>
      </c>
      <c r="U28" s="13" t="n">
        <v>242.726041086659</v>
      </c>
      <c r="V28" s="13" t="n">
        <v>257.880149895717</v>
      </c>
      <c r="X28" s="12">
        <f>IFERROR(RATE(4,,-G28,K28),0)</f>
        <v/>
      </c>
      <c r="Y28" s="12">
        <f>IFERROR(RATE(11,,-K28,V28),0)</f>
        <v/>
      </c>
      <c r="AA28" s="12">
        <f>IFERROR(H28/G28-1,0)</f>
        <v/>
      </c>
      <c r="AB28" s="12">
        <f>IFERROR(I28/H28-1,0)</f>
        <v/>
      </c>
      <c r="AC28" s="12">
        <f>IFERROR(J28/I28-1,0)</f>
        <v/>
      </c>
      <c r="AD28" s="12">
        <f>IFERROR(K28/J28-1,0)</f>
        <v/>
      </c>
      <c r="AE28" s="12">
        <f>IFERROR(L28/K28-1,0)</f>
        <v/>
      </c>
      <c r="AF28" s="12">
        <f>IFERROR(M28/L28-1,0)</f>
        <v/>
      </c>
      <c r="AG28" s="12">
        <f>IFERROR(N28/M28-1,0)</f>
        <v/>
      </c>
      <c r="AH28" s="12">
        <f>IFERROR(O28/N28-1,0)</f>
        <v/>
      </c>
      <c r="AI28" s="12">
        <f>IFERROR(P28/O28-1,0)</f>
        <v/>
      </c>
      <c r="AJ28" s="12">
        <f>IFERROR(Q28/P28-1,0)</f>
        <v/>
      </c>
      <c r="AK28" s="12">
        <f>IFERROR(R28/Q28-1,0)</f>
        <v/>
      </c>
      <c r="AL28" s="12">
        <f>IFERROR(S28/R28-1,0)</f>
        <v/>
      </c>
      <c r="AM28" s="12">
        <f>IFERROR(T28/S28-1,0)</f>
        <v/>
      </c>
      <c r="AN28" s="12">
        <f>IFERROR(U28/T28-1,0)</f>
        <v/>
      </c>
      <c r="AO28" s="12">
        <f>IFERROR(V28/U28-1,0)</f>
        <v/>
      </c>
    </row>
    <row r="29" ht="15" customHeight="1" s="8">
      <c r="A29" s="7" t="inlineStr">
        <is>
          <t>USA</t>
        </is>
      </c>
      <c r="B29" s="7" t="inlineStr">
        <is>
          <t>By Product Type</t>
        </is>
      </c>
      <c r="C29" s="7" t="inlineStr">
        <is>
          <t>DHA / Omega-3</t>
        </is>
      </c>
      <c r="D29" s="7" t="inlineStr">
        <is>
          <t>DHA / Omega-3</t>
        </is>
      </c>
      <c r="E29" s="7" t="inlineStr">
        <is>
          <t>DHA / Omega-3</t>
        </is>
      </c>
      <c r="F29" s="7" t="inlineStr">
        <is>
          <t>US$ Mn</t>
        </is>
      </c>
      <c r="G29" s="13" t="n">
        <v>22.1419244779595</v>
      </c>
      <c r="H29" s="13" t="n">
        <v>23.5140210079481</v>
      </c>
      <c r="I29" s="13" t="n">
        <v>24.9247728392783</v>
      </c>
      <c r="J29" s="13" t="n">
        <v>26.3553364816207</v>
      </c>
      <c r="K29" s="13" t="n">
        <v>27.82569990984</v>
      </c>
      <c r="L29" s="13" t="n">
        <v>29.4975493722352</v>
      </c>
      <c r="M29" s="13" t="n">
        <v>31.365515499236</v>
      </c>
      <c r="N29" s="13" t="n">
        <v>33.5041614497039</v>
      </c>
      <c r="O29" s="13" t="n">
        <v>36.0435842722712</v>
      </c>
      <c r="P29" s="13" t="n">
        <v>39.020780228311</v>
      </c>
      <c r="Q29" s="13" t="n">
        <v>42.319408809449</v>
      </c>
      <c r="R29" s="13" t="n">
        <v>45.8903020515022</v>
      </c>
      <c r="S29" s="13" t="n">
        <v>49.657227030247</v>
      </c>
      <c r="T29" s="13" t="n">
        <v>53.6437063828937</v>
      </c>
      <c r="U29" s="13" t="n">
        <v>57.8696907374262</v>
      </c>
      <c r="V29" s="13" t="n">
        <v>62.3563665924278</v>
      </c>
      <c r="X29" s="12">
        <f>IFERROR(RATE(4,,-G29,K29),0)</f>
        <v/>
      </c>
      <c r="Y29" s="12">
        <f>IFERROR(RATE(11,,-K29,V29),0)</f>
        <v/>
      </c>
      <c r="AA29" s="12">
        <f>IFERROR(H29/G29-1,0)</f>
        <v/>
      </c>
      <c r="AB29" s="12">
        <f>IFERROR(I29/H29-1,0)</f>
        <v/>
      </c>
      <c r="AC29" s="12">
        <f>IFERROR(J29/I29-1,0)</f>
        <v/>
      </c>
      <c r="AD29" s="12">
        <f>IFERROR(K29/J29-1,0)</f>
        <v/>
      </c>
      <c r="AE29" s="12">
        <f>IFERROR(L29/K29-1,0)</f>
        <v/>
      </c>
      <c r="AF29" s="12">
        <f>IFERROR(M29/L29-1,0)</f>
        <v/>
      </c>
      <c r="AG29" s="12">
        <f>IFERROR(N29/M29-1,0)</f>
        <v/>
      </c>
      <c r="AH29" s="12">
        <f>IFERROR(O29/N29-1,0)</f>
        <v/>
      </c>
      <c r="AI29" s="12">
        <f>IFERROR(P29/O29-1,0)</f>
        <v/>
      </c>
      <c r="AJ29" s="12">
        <f>IFERROR(Q29/P29-1,0)</f>
        <v/>
      </c>
      <c r="AK29" s="12">
        <f>IFERROR(R29/Q29-1,0)</f>
        <v/>
      </c>
      <c r="AL29" s="12">
        <f>IFERROR(S29/R29-1,0)</f>
        <v/>
      </c>
      <c r="AM29" s="12">
        <f>IFERROR(T29/S29-1,0)</f>
        <v/>
      </c>
      <c r="AN29" s="12">
        <f>IFERROR(U29/T29-1,0)</f>
        <v/>
      </c>
      <c r="AO29" s="12">
        <f>IFERROR(V29/U29-1,0)</f>
        <v/>
      </c>
    </row>
    <row r="30" ht="15" customHeight="1" s="8">
      <c r="A30" s="7" t="inlineStr">
        <is>
          <t>USA</t>
        </is>
      </c>
      <c r="B30" s="7" t="inlineStr">
        <is>
          <t>By Product Type</t>
        </is>
      </c>
      <c r="C30" s="7" t="inlineStr">
        <is>
          <t>Iron</t>
        </is>
      </c>
      <c r="D30" s="7" t="inlineStr">
        <is>
          <t>Iron</t>
        </is>
      </c>
      <c r="E30" s="7" t="inlineStr">
        <is>
          <t>Iron</t>
        </is>
      </c>
      <c r="F30" s="7" t="inlineStr">
        <is>
          <t>US$ Mn</t>
        </is>
      </c>
      <c r="G30" s="13" t="n">
        <v>14.1313472962788</v>
      </c>
      <c r="H30" s="13" t="n">
        <v>14.6040257888994</v>
      </c>
      <c r="I30" s="13" t="n">
        <v>15.1108495136498</v>
      </c>
      <c r="J30" s="13" t="n">
        <v>15.6581388013897</v>
      </c>
      <c r="K30" s="13" t="n">
        <v>16.21340011408</v>
      </c>
      <c r="L30" s="13" t="n">
        <v>16.806752483658</v>
      </c>
      <c r="M30" s="13" t="n">
        <v>17.3959025799176</v>
      </c>
      <c r="N30" s="13" t="n">
        <v>18.025410447765</v>
      </c>
      <c r="O30" s="13" t="n">
        <v>18.7357668064618</v>
      </c>
      <c r="P30" s="13" t="n">
        <v>19.5562393985145</v>
      </c>
      <c r="Q30" s="13" t="n">
        <v>20.4820396418178</v>
      </c>
      <c r="R30" s="13" t="n">
        <v>21.4898834512305</v>
      </c>
      <c r="S30" s="13" t="n">
        <v>22.5477776498267</v>
      </c>
      <c r="T30" s="13" t="n">
        <v>23.6567343263692</v>
      </c>
      <c r="U30" s="13" t="n">
        <v>24.7984715291966</v>
      </c>
      <c r="V30" s="13" t="n">
        <v>25.9673458260918</v>
      </c>
      <c r="X30" s="12">
        <f>IFERROR(RATE(4,,-G30,K30),0)</f>
        <v/>
      </c>
      <c r="Y30" s="12">
        <f>IFERROR(RATE(11,,-K30,V30),0)</f>
        <v/>
      </c>
      <c r="AA30" s="12">
        <f>IFERROR(H30/G30-1,0)</f>
        <v/>
      </c>
      <c r="AB30" s="12">
        <f>IFERROR(I30/H30-1,0)</f>
        <v/>
      </c>
      <c r="AC30" s="12">
        <f>IFERROR(J30/I30-1,0)</f>
        <v/>
      </c>
      <c r="AD30" s="12">
        <f>IFERROR(K30/J30-1,0)</f>
        <v/>
      </c>
      <c r="AE30" s="12">
        <f>IFERROR(L30/K30-1,0)</f>
        <v/>
      </c>
      <c r="AF30" s="12">
        <f>IFERROR(M30/L30-1,0)</f>
        <v/>
      </c>
      <c r="AG30" s="12">
        <f>IFERROR(N30/M30-1,0)</f>
        <v/>
      </c>
      <c r="AH30" s="12">
        <f>IFERROR(O30/N30-1,0)</f>
        <v/>
      </c>
      <c r="AI30" s="12">
        <f>IFERROR(P30/O30-1,0)</f>
        <v/>
      </c>
      <c r="AJ30" s="12">
        <f>IFERROR(Q30/P30-1,0)</f>
        <v/>
      </c>
      <c r="AK30" s="12">
        <f>IFERROR(R30/Q30-1,0)</f>
        <v/>
      </c>
      <c r="AL30" s="12">
        <f>IFERROR(S30/R30-1,0)</f>
        <v/>
      </c>
      <c r="AM30" s="12">
        <f>IFERROR(T30/S30-1,0)</f>
        <v/>
      </c>
      <c r="AN30" s="12">
        <f>IFERROR(U30/T30-1,0)</f>
        <v/>
      </c>
      <c r="AO30" s="12">
        <f>IFERROR(V30/U30-1,0)</f>
        <v/>
      </c>
    </row>
    <row r="31" ht="15" customHeight="1" s="8">
      <c r="A31" s="7" t="inlineStr">
        <is>
          <t>USA</t>
        </is>
      </c>
      <c r="B31" s="7" t="inlineStr">
        <is>
          <t>By Product Type</t>
        </is>
      </c>
      <c r="C31" s="7" t="inlineStr">
        <is>
          <t>Folate / Folic Acid</t>
        </is>
      </c>
      <c r="D31" s="7" t="inlineStr">
        <is>
          <t>Folate / Folic Acid</t>
        </is>
      </c>
      <c r="E31" s="7" t="inlineStr">
        <is>
          <t>Folate / Folic Acid</t>
        </is>
      </c>
      <c r="F31" s="7" t="inlineStr">
        <is>
          <t>US$ Mn</t>
        </is>
      </c>
      <c r="G31" s="13" t="n">
        <v>11.5273899913297</v>
      </c>
      <c r="H31" s="13" t="n">
        <v>12.0176850622169</v>
      </c>
      <c r="I31" s="13" t="n">
        <v>12.5309120862286</v>
      </c>
      <c r="J31" s="13" t="n">
        <v>13.0578435847081</v>
      </c>
      <c r="K31" s="13" t="n">
        <v>13.58419996504</v>
      </c>
      <c r="L31" s="13" t="n">
        <v>14.1542819470469</v>
      </c>
      <c r="M31" s="13" t="n">
        <v>14.7657236117071</v>
      </c>
      <c r="N31" s="13" t="n">
        <v>15.4516979563251</v>
      </c>
      <c r="O31" s="13" t="n">
        <v>16.2324672563414</v>
      </c>
      <c r="P31" s="13" t="n">
        <v>17.0815157172506</v>
      </c>
      <c r="Q31" s="13" t="n">
        <v>17.9763196117659</v>
      </c>
      <c r="R31" s="13" t="n">
        <v>18.9294572296142</v>
      </c>
      <c r="S31" s="13" t="n">
        <v>19.9749820469966</v>
      </c>
      <c r="T31" s="13" t="n">
        <v>21.0863821837992</v>
      </c>
      <c r="U31" s="13" t="n">
        <v>22.243093394463</v>
      </c>
      <c r="V31" s="13" t="n">
        <v>23.4359134600143</v>
      </c>
      <c r="X31" s="12">
        <f>IFERROR(RATE(4,,-G31,K31),0)</f>
        <v/>
      </c>
      <c r="Y31" s="12">
        <f>IFERROR(RATE(11,,-K31,V31),0)</f>
        <v/>
      </c>
      <c r="AA31" s="12">
        <f>IFERROR(H31/G31-1,0)</f>
        <v/>
      </c>
      <c r="AB31" s="12">
        <f>IFERROR(I31/H31-1,0)</f>
        <v/>
      </c>
      <c r="AC31" s="12">
        <f>IFERROR(J31/I31-1,0)</f>
        <v/>
      </c>
      <c r="AD31" s="12">
        <f>IFERROR(K31/J31-1,0)</f>
        <v/>
      </c>
      <c r="AE31" s="12">
        <f>IFERROR(L31/K31-1,0)</f>
        <v/>
      </c>
      <c r="AF31" s="12">
        <f>IFERROR(M31/L31-1,0)</f>
        <v/>
      </c>
      <c r="AG31" s="12">
        <f>IFERROR(N31/M31-1,0)</f>
        <v/>
      </c>
      <c r="AH31" s="12">
        <f>IFERROR(O31/N31-1,0)</f>
        <v/>
      </c>
      <c r="AI31" s="12">
        <f>IFERROR(P31/O31-1,0)</f>
        <v/>
      </c>
      <c r="AJ31" s="12">
        <f>IFERROR(Q31/P31-1,0)</f>
        <v/>
      </c>
      <c r="AK31" s="12">
        <f>IFERROR(R31/Q31-1,0)</f>
        <v/>
      </c>
      <c r="AL31" s="12">
        <f>IFERROR(S31/R31-1,0)</f>
        <v/>
      </c>
      <c r="AM31" s="12">
        <f>IFERROR(T31/S31-1,0)</f>
        <v/>
      </c>
      <c r="AN31" s="12">
        <f>IFERROR(U31/T31-1,0)</f>
        <v/>
      </c>
      <c r="AO31" s="12">
        <f>IFERROR(V31/U31-1,0)</f>
        <v/>
      </c>
    </row>
    <row r="32" ht="15" customHeight="1" s="8">
      <c r="A32" s="7" t="inlineStr">
        <is>
          <t>USA</t>
        </is>
      </c>
      <c r="B32" s="7" t="inlineStr">
        <is>
          <t>By Product Type</t>
        </is>
      </c>
      <c r="C32" s="7" t="inlineStr">
        <is>
          <t>Choline</t>
        </is>
      </c>
      <c r="D32" s="7" t="inlineStr">
        <is>
          <t>Choline</t>
        </is>
      </c>
      <c r="E32" s="7" t="inlineStr">
        <is>
          <t>Choline</t>
        </is>
      </c>
      <c r="F32" s="7" t="inlineStr">
        <is>
          <t>US$ Mn</t>
        </is>
      </c>
      <c r="G32" s="13" t="n">
        <v>5.95934124765696</v>
      </c>
      <c r="H32" s="13" t="n">
        <v>6.46627565101286</v>
      </c>
      <c r="I32" s="13" t="n">
        <v>7.01927375340446</v>
      </c>
      <c r="J32" s="13" t="n">
        <v>7.63482673236119</v>
      </c>
      <c r="K32" s="13" t="n">
        <v>8.32579989696</v>
      </c>
      <c r="L32" s="13" t="n">
        <v>9.13475370969244</v>
      </c>
      <c r="M32" s="13" t="n">
        <v>10.0645439035912</v>
      </c>
      <c r="N32" s="13" t="n">
        <v>11.138542811683</v>
      </c>
      <c r="O32" s="13" t="n">
        <v>12.4161921181338</v>
      </c>
      <c r="P32" s="13" t="n">
        <v>13.9500032317483</v>
      </c>
      <c r="Q32" s="13" t="n">
        <v>15.7975481831523</v>
      </c>
      <c r="R32" s="13" t="n">
        <v>18.0121974317819</v>
      </c>
      <c r="S32" s="13" t="n">
        <v>20.5975866152963</v>
      </c>
      <c r="T32" s="13" t="n">
        <v>23.5721243279089</v>
      </c>
      <c r="U32" s="13" t="n">
        <v>26.8968196387593</v>
      </c>
      <c r="V32" s="13" t="n">
        <v>30.616079577591</v>
      </c>
      <c r="X32" s="12">
        <f>IFERROR(RATE(4,,-G32,K32),0)</f>
        <v/>
      </c>
      <c r="Y32" s="12">
        <f>IFERROR(RATE(11,,-K32,V32),0)</f>
        <v/>
      </c>
      <c r="AA32" s="12">
        <f>IFERROR(H32/G32-1,0)</f>
        <v/>
      </c>
      <c r="AB32" s="12">
        <f>IFERROR(I32/H32-1,0)</f>
        <v/>
      </c>
      <c r="AC32" s="12">
        <f>IFERROR(J32/I32-1,0)</f>
        <v/>
      </c>
      <c r="AD32" s="12">
        <f>IFERROR(K32/J32-1,0)</f>
        <v/>
      </c>
      <c r="AE32" s="12">
        <f>IFERROR(L32/K32-1,0)</f>
        <v/>
      </c>
      <c r="AF32" s="12">
        <f>IFERROR(M32/L32-1,0)</f>
        <v/>
      </c>
      <c r="AG32" s="12">
        <f>IFERROR(N32/M32-1,0)</f>
        <v/>
      </c>
      <c r="AH32" s="12">
        <f>IFERROR(O32/N32-1,0)</f>
        <v/>
      </c>
      <c r="AI32" s="12">
        <f>IFERROR(P32/O32-1,0)</f>
        <v/>
      </c>
      <c r="AJ32" s="12">
        <f>IFERROR(Q32/P32-1,0)</f>
        <v/>
      </c>
      <c r="AK32" s="12">
        <f>IFERROR(R32/Q32-1,0)</f>
        <v/>
      </c>
      <c r="AL32" s="12">
        <f>IFERROR(S32/R32-1,0)</f>
        <v/>
      </c>
      <c r="AM32" s="12">
        <f>IFERROR(T32/S32-1,0)</f>
        <v/>
      </c>
      <c r="AN32" s="12">
        <f>IFERROR(U32/T32-1,0)</f>
        <v/>
      </c>
      <c r="AO32" s="12">
        <f>IFERROR(V32/U32-1,0)</f>
        <v/>
      </c>
    </row>
    <row r="33" ht="15" customHeight="1" s="8">
      <c r="A33" s="7" t="inlineStr">
        <is>
          <t>USA</t>
        </is>
      </c>
      <c r="B33" s="7" t="inlineStr">
        <is>
          <t>By Product Type</t>
        </is>
      </c>
      <c r="C33" s="7" t="inlineStr">
        <is>
          <t>Calcium &amp; Mineral</t>
        </is>
      </c>
      <c r="D33" s="7" t="inlineStr">
        <is>
          <t>Calcium &amp; Mineral</t>
        </is>
      </c>
      <c r="E33" s="7" t="inlineStr">
        <is>
          <t>Calcium &amp; Mineral</t>
        </is>
      </c>
      <c r="F33" s="7" t="inlineStr">
        <is>
          <t>US$ Mn</t>
        </is>
      </c>
      <c r="G33" s="13" t="n">
        <v>10.0720066357378</v>
      </c>
      <c r="H33" s="13" t="n">
        <v>10.3521707738578</v>
      </c>
      <c r="I33" s="13" t="n">
        <v>10.6305820957815</v>
      </c>
      <c r="J33" s="13" t="n">
        <v>10.9050326470824</v>
      </c>
      <c r="K33" s="13" t="n">
        <v>11.17410011592</v>
      </c>
      <c r="L33" s="13" t="n">
        <v>11.4778453624585</v>
      </c>
      <c r="M33" s="13" t="n">
        <v>11.8055548422715</v>
      </c>
      <c r="N33" s="13" t="n">
        <v>12.1713495802171</v>
      </c>
      <c r="O33" s="13" t="n">
        <v>12.581177918477</v>
      </c>
      <c r="P33" s="13" t="n">
        <v>13.0295080008809</v>
      </c>
      <c r="Q33" s="13" t="n">
        <v>13.5127241154808</v>
      </c>
      <c r="R33" s="13" t="n">
        <v>14.0354835723231</v>
      </c>
      <c r="S33" s="13" t="n">
        <v>14.5943875992873</v>
      </c>
      <c r="T33" s="13" t="n">
        <v>15.1853592857718</v>
      </c>
      <c r="U33" s="13" t="n">
        <v>15.7968943193219</v>
      </c>
      <c r="V33" s="13" t="n">
        <v>16.4281580000216</v>
      </c>
      <c r="X33" s="12">
        <f>IFERROR(RATE(4,,-G33,K33),0)</f>
        <v/>
      </c>
      <c r="Y33" s="12">
        <f>IFERROR(RATE(11,,-K33,V33),0)</f>
        <v/>
      </c>
      <c r="AA33" s="12">
        <f>IFERROR(H33/G33-1,0)</f>
        <v/>
      </c>
      <c r="AB33" s="12">
        <f>IFERROR(I33/H33-1,0)</f>
        <v/>
      </c>
      <c r="AC33" s="12">
        <f>IFERROR(J33/I33-1,0)</f>
        <v/>
      </c>
      <c r="AD33" s="12">
        <f>IFERROR(K33/J33-1,0)</f>
        <v/>
      </c>
      <c r="AE33" s="12">
        <f>IFERROR(L33/K33-1,0)</f>
        <v/>
      </c>
      <c r="AF33" s="12">
        <f>IFERROR(M33/L33-1,0)</f>
        <v/>
      </c>
      <c r="AG33" s="12">
        <f>IFERROR(N33/M33-1,0)</f>
        <v/>
      </c>
      <c r="AH33" s="12">
        <f>IFERROR(O33/N33-1,0)</f>
        <v/>
      </c>
      <c r="AI33" s="12">
        <f>IFERROR(P33/O33-1,0)</f>
        <v/>
      </c>
      <c r="AJ33" s="12">
        <f>IFERROR(Q33/P33-1,0)</f>
        <v/>
      </c>
      <c r="AK33" s="12">
        <f>IFERROR(R33/Q33-1,0)</f>
        <v/>
      </c>
      <c r="AL33" s="12">
        <f>IFERROR(S33/R33-1,0)</f>
        <v/>
      </c>
      <c r="AM33" s="12">
        <f>IFERROR(T33/S33-1,0)</f>
        <v/>
      </c>
      <c r="AN33" s="12">
        <f>IFERROR(U33/T33-1,0)</f>
        <v/>
      </c>
      <c r="AO33" s="12">
        <f>IFERROR(V33/U33-1,0)</f>
        <v/>
      </c>
    </row>
    <row r="34" ht="15" customHeight="1" s="8">
      <c r="A34" s="7" t="inlineStr">
        <is>
          <t>USA</t>
        </is>
      </c>
      <c r="B34" s="7" t="inlineStr">
        <is>
          <t>By Product Type</t>
        </is>
      </c>
      <c r="C34" s="7" t="inlineStr">
        <is>
          <t>Probiotic</t>
        </is>
      </c>
      <c r="D34" s="7" t="inlineStr">
        <is>
          <t>Probiotic</t>
        </is>
      </c>
      <c r="E34" s="7" t="inlineStr">
        <is>
          <t>Probiotic</t>
        </is>
      </c>
      <c r="F34" s="7" t="inlineStr">
        <is>
          <t>US$ Mn</t>
        </is>
      </c>
      <c r="G34" s="13" t="n">
        <v>6.03720201602671</v>
      </c>
      <c r="H34" s="13" t="n">
        <v>6.38768502022469</v>
      </c>
      <c r="I34" s="13" t="n">
        <v>6.73146648038884</v>
      </c>
      <c r="J34" s="13" t="n">
        <v>7.08319755572432</v>
      </c>
      <c r="K34" s="13" t="n">
        <v>7.44940007728</v>
      </c>
      <c r="L34" s="13" t="n">
        <v>7.90417549562532</v>
      </c>
      <c r="M34" s="13" t="n">
        <v>8.467132190939219</v>
      </c>
      <c r="N34" s="13" t="n">
        <v>9.16821766760774</v>
      </c>
      <c r="O34" s="13" t="n">
        <v>10.0262356155453</v>
      </c>
      <c r="P34" s="13" t="n">
        <v>11.0572542177888</v>
      </c>
      <c r="Q34" s="13" t="n">
        <v>12.2635146551033</v>
      </c>
      <c r="R34" s="13" t="n">
        <v>13.6635914178304</v>
      </c>
      <c r="S34" s="13" t="n">
        <v>15.249842772668</v>
      </c>
      <c r="T34" s="13" t="n">
        <v>17.0255993592311</v>
      </c>
      <c r="U34" s="13" t="n">
        <v>18.9813663573956</v>
      </c>
      <c r="V34" s="13" t="n">
        <v>21.1214182440751</v>
      </c>
      <c r="X34" s="12">
        <f>IFERROR(RATE(4,,-G34,K34),0)</f>
        <v/>
      </c>
      <c r="Y34" s="12">
        <f>IFERROR(RATE(11,,-K34,V34),0)</f>
        <v/>
      </c>
      <c r="AA34" s="12">
        <f>IFERROR(H34/G34-1,0)</f>
        <v/>
      </c>
      <c r="AB34" s="12">
        <f>IFERROR(I34/H34-1,0)</f>
        <v/>
      </c>
      <c r="AC34" s="12">
        <f>IFERROR(J34/I34-1,0)</f>
        <v/>
      </c>
      <c r="AD34" s="12">
        <f>IFERROR(K34/J34-1,0)</f>
        <v/>
      </c>
      <c r="AE34" s="12">
        <f>IFERROR(L34/K34-1,0)</f>
        <v/>
      </c>
      <c r="AF34" s="12">
        <f>IFERROR(M34/L34-1,0)</f>
        <v/>
      </c>
      <c r="AG34" s="12">
        <f>IFERROR(N34/M34-1,0)</f>
        <v/>
      </c>
      <c r="AH34" s="12">
        <f>IFERROR(O34/N34-1,0)</f>
        <v/>
      </c>
      <c r="AI34" s="12">
        <f>IFERROR(P34/O34-1,0)</f>
        <v/>
      </c>
      <c r="AJ34" s="12">
        <f>IFERROR(Q34/P34-1,0)</f>
        <v/>
      </c>
      <c r="AK34" s="12">
        <f>IFERROR(R34/Q34-1,0)</f>
        <v/>
      </c>
      <c r="AL34" s="12">
        <f>IFERROR(S34/R34-1,0)</f>
        <v/>
      </c>
      <c r="AM34" s="12">
        <f>IFERROR(T34/S34-1,0)</f>
        <v/>
      </c>
      <c r="AN34" s="12">
        <f>IFERROR(U34/T34-1,0)</f>
        <v/>
      </c>
      <c r="AO34" s="12">
        <f>IFERROR(V34/U34-1,0)</f>
        <v/>
      </c>
    </row>
    <row r="35" ht="15" customHeight="1" s="8">
      <c r="A35" s="7" t="inlineStr">
        <is>
          <t>USA</t>
        </is>
      </c>
      <c r="B35" s="7" t="inlineStr">
        <is>
          <t>By Sales Channel</t>
        </is>
      </c>
      <c r="C35" s="7" t="inlineStr">
        <is>
          <t>Direct-to-Consumer / Brand Website</t>
        </is>
      </c>
      <c r="D35" s="7" t="inlineStr">
        <is>
          <t>Direct-to-Consumer / Brand Website</t>
        </is>
      </c>
      <c r="E35" s="7" t="inlineStr">
        <is>
          <t>Direct-to-Consumer / Brand Website</t>
        </is>
      </c>
      <c r="F35" s="7" t="inlineStr">
        <is>
          <t>Mn Units</t>
        </is>
      </c>
      <c r="G35" s="11" t="n">
        <v>94.66244</v>
      </c>
      <c r="H35" s="11" t="n">
        <v>99.46997500000001</v>
      </c>
      <c r="I35" s="11" t="n">
        <v>105.226695</v>
      </c>
      <c r="J35" s="11" t="n">
        <v>111.998968</v>
      </c>
      <c r="K35" s="11" t="n">
        <v>120.028696</v>
      </c>
      <c r="L35" s="11" t="n">
        <v>129.600009</v>
      </c>
      <c r="M35" s="11" t="n">
        <v>140.670274</v>
      </c>
      <c r="N35" s="11" t="n">
        <v>153.44608</v>
      </c>
      <c r="O35" s="11" t="n">
        <v>168.429995</v>
      </c>
      <c r="P35" s="11" t="n">
        <v>186.367706</v>
      </c>
      <c r="Q35" s="11" t="n">
        <v>207.67605</v>
      </c>
      <c r="R35" s="11" t="n">
        <v>232.104317</v>
      </c>
      <c r="S35" s="11" t="n">
        <v>258.895433</v>
      </c>
      <c r="T35" s="11" t="n">
        <v>288.31711</v>
      </c>
      <c r="U35" s="11" t="n">
        <v>319.867535</v>
      </c>
      <c r="V35" s="11" t="n">
        <v>353.56763</v>
      </c>
      <c r="X35" s="12">
        <f>IFERROR(RATE(4,,-G35,K35),0)</f>
        <v/>
      </c>
      <c r="Y35" s="12">
        <f>IFERROR(RATE(11,,-K35,V35),0)</f>
        <v/>
      </c>
      <c r="AA35" s="12">
        <f>IFERROR(H35/G35-1,0)</f>
        <v/>
      </c>
      <c r="AB35" s="12">
        <f>IFERROR(I35/H35-1,0)</f>
        <v/>
      </c>
      <c r="AC35" s="12">
        <f>IFERROR(J35/I35-1,0)</f>
        <v/>
      </c>
      <c r="AD35" s="12">
        <f>IFERROR(K35/J35-1,0)</f>
        <v/>
      </c>
      <c r="AE35" s="12">
        <f>IFERROR(L35/K35-1,0)</f>
        <v/>
      </c>
      <c r="AF35" s="12">
        <f>IFERROR(M35/L35-1,0)</f>
        <v/>
      </c>
      <c r="AG35" s="12">
        <f>IFERROR(N35/M35-1,0)</f>
        <v/>
      </c>
      <c r="AH35" s="12">
        <f>IFERROR(O35/N35-1,0)</f>
        <v/>
      </c>
      <c r="AI35" s="12">
        <f>IFERROR(P35/O35-1,0)</f>
        <v/>
      </c>
      <c r="AJ35" s="12">
        <f>IFERROR(Q35/P35-1,0)</f>
        <v/>
      </c>
      <c r="AK35" s="12">
        <f>IFERROR(R35/Q35-1,0)</f>
        <v/>
      </c>
      <c r="AL35" s="12">
        <f>IFERROR(S35/R35-1,0)</f>
        <v/>
      </c>
      <c r="AM35" s="12">
        <f>IFERROR(T35/S35-1,0)</f>
        <v/>
      </c>
      <c r="AN35" s="12">
        <f>IFERROR(U35/T35-1,0)</f>
        <v/>
      </c>
      <c r="AO35" s="12">
        <f>IFERROR(V35/U35-1,0)</f>
        <v/>
      </c>
    </row>
    <row r="36" ht="15" customHeight="1" s="8">
      <c r="A36" s="7" t="inlineStr">
        <is>
          <t>USA</t>
        </is>
      </c>
      <c r="B36" s="7" t="inlineStr">
        <is>
          <t>By Sales Channel</t>
        </is>
      </c>
      <c r="C36" s="7" t="inlineStr">
        <is>
          <t>Amazon / Online Marketplaces</t>
        </is>
      </c>
      <c r="D36" s="7" t="inlineStr">
        <is>
          <t>Amazon / Online Marketplaces</t>
        </is>
      </c>
      <c r="E36" s="7" t="inlineStr">
        <is>
          <t>Amazon / Online Marketplaces</t>
        </is>
      </c>
      <c r="F36" s="7" t="inlineStr">
        <is>
          <t>Mn Units</t>
        </is>
      </c>
      <c r="G36" s="11" t="n">
        <v>229.03766</v>
      </c>
      <c r="H36" s="11" t="n">
        <v>246.107022</v>
      </c>
      <c r="I36" s="11" t="n">
        <v>263.552728</v>
      </c>
      <c r="J36" s="11" t="n">
        <v>281.049662</v>
      </c>
      <c r="K36" s="11" t="n">
        <v>299.119131</v>
      </c>
      <c r="L36" s="11" t="n">
        <v>319.070229</v>
      </c>
      <c r="M36" s="11" t="n">
        <v>341.605126</v>
      </c>
      <c r="N36" s="11" t="n">
        <v>367.390864</v>
      </c>
      <c r="O36" s="11" t="n">
        <v>397.568791</v>
      </c>
      <c r="P36" s="11" t="n">
        <v>431.846905</v>
      </c>
      <c r="Q36" s="11" t="n">
        <v>468.580504</v>
      </c>
      <c r="R36" s="11" t="n">
        <v>507.340084</v>
      </c>
      <c r="S36" s="11" t="n">
        <v>547.936313</v>
      </c>
      <c r="T36" s="11" t="n">
        <v>590.175291</v>
      </c>
      <c r="U36" s="11" t="n">
        <v>634.178865</v>
      </c>
      <c r="V36" s="11" t="n">
        <v>680.1751850000001</v>
      </c>
      <c r="X36" s="12">
        <f>IFERROR(RATE(4,,-G36,K36),0)</f>
        <v/>
      </c>
      <c r="Y36" s="12">
        <f>IFERROR(RATE(11,,-K36,V36),0)</f>
        <v/>
      </c>
      <c r="AA36" s="12">
        <f>IFERROR(H36/G36-1,0)</f>
        <v/>
      </c>
      <c r="AB36" s="12">
        <f>IFERROR(I36/H36-1,0)</f>
        <v/>
      </c>
      <c r="AC36" s="12">
        <f>IFERROR(J36/I36-1,0)</f>
        <v/>
      </c>
      <c r="AD36" s="12">
        <f>IFERROR(K36/J36-1,0)</f>
        <v/>
      </c>
      <c r="AE36" s="12">
        <f>IFERROR(L36/K36-1,0)</f>
        <v/>
      </c>
      <c r="AF36" s="12">
        <f>IFERROR(M36/L36-1,0)</f>
        <v/>
      </c>
      <c r="AG36" s="12">
        <f>IFERROR(N36/M36-1,0)</f>
        <v/>
      </c>
      <c r="AH36" s="12">
        <f>IFERROR(O36/N36-1,0)</f>
        <v/>
      </c>
      <c r="AI36" s="12">
        <f>IFERROR(P36/O36-1,0)</f>
        <v/>
      </c>
      <c r="AJ36" s="12">
        <f>IFERROR(Q36/P36-1,0)</f>
        <v/>
      </c>
      <c r="AK36" s="12">
        <f>IFERROR(R36/Q36-1,0)</f>
        <v/>
      </c>
      <c r="AL36" s="12">
        <f>IFERROR(S36/R36-1,0)</f>
        <v/>
      </c>
      <c r="AM36" s="12">
        <f>IFERROR(T36/S36-1,0)</f>
        <v/>
      </c>
      <c r="AN36" s="12">
        <f>IFERROR(U36/T36-1,0)</f>
        <v/>
      </c>
      <c r="AO36" s="12">
        <f>IFERROR(V36/U36-1,0)</f>
        <v/>
      </c>
    </row>
    <row r="37" ht="15" customHeight="1" s="8">
      <c r="A37" s="7" t="inlineStr">
        <is>
          <t>USA</t>
        </is>
      </c>
      <c r="B37" s="7" t="inlineStr">
        <is>
          <t>By Sales Channel</t>
        </is>
      </c>
      <c r="C37" s="7" t="inlineStr">
        <is>
          <t>Mass Retail</t>
        </is>
      </c>
      <c r="D37" s="7" t="inlineStr">
        <is>
          <t>Mass Retail</t>
        </is>
      </c>
      <c r="E37" s="7" t="inlineStr">
        <is>
          <t>Mass Retail</t>
        </is>
      </c>
      <c r="F37" s="7" t="inlineStr">
        <is>
          <t>Mn Units</t>
        </is>
      </c>
      <c r="G37" s="11" t="n">
        <v>228.901547</v>
      </c>
      <c r="H37" s="11" t="n">
        <v>237.104139</v>
      </c>
      <c r="I37" s="11" t="n">
        <v>245.849916</v>
      </c>
      <c r="J37" s="11" t="n">
        <v>255.272564</v>
      </c>
      <c r="K37" s="11" t="n">
        <v>264.825217</v>
      </c>
      <c r="L37" s="11" t="n">
        <v>274.196159</v>
      </c>
      <c r="M37" s="11" t="n">
        <v>283.096204</v>
      </c>
      <c r="N37" s="11" t="n">
        <v>292.191665</v>
      </c>
      <c r="O37" s="11" t="n">
        <v>301.782178</v>
      </c>
      <c r="P37" s="11" t="n">
        <v>311.9968</v>
      </c>
      <c r="Q37" s="11" t="n">
        <v>322.980114</v>
      </c>
      <c r="R37" s="11" t="n">
        <v>334.530901</v>
      </c>
      <c r="S37" s="11" t="n">
        <v>346.644185</v>
      </c>
      <c r="T37" s="11" t="n">
        <v>359.01646</v>
      </c>
      <c r="U37" s="11" t="n">
        <v>371.189786</v>
      </c>
      <c r="V37" s="11" t="n">
        <v>383.054897</v>
      </c>
      <c r="X37" s="12">
        <f>IFERROR(RATE(4,,-G37,K37),0)</f>
        <v/>
      </c>
      <c r="Y37" s="12">
        <f>IFERROR(RATE(11,,-K37,V37),0)</f>
        <v/>
      </c>
      <c r="AA37" s="12">
        <f>IFERROR(H37/G37-1,0)</f>
        <v/>
      </c>
      <c r="AB37" s="12">
        <f>IFERROR(I37/H37-1,0)</f>
        <v/>
      </c>
      <c r="AC37" s="12">
        <f>IFERROR(J37/I37-1,0)</f>
        <v/>
      </c>
      <c r="AD37" s="12">
        <f>IFERROR(K37/J37-1,0)</f>
        <v/>
      </c>
      <c r="AE37" s="12">
        <f>IFERROR(L37/K37-1,0)</f>
        <v/>
      </c>
      <c r="AF37" s="12">
        <f>IFERROR(M37/L37-1,0)</f>
        <v/>
      </c>
      <c r="AG37" s="12">
        <f>IFERROR(N37/M37-1,0)</f>
        <v/>
      </c>
      <c r="AH37" s="12">
        <f>IFERROR(O37/N37-1,0)</f>
        <v/>
      </c>
      <c r="AI37" s="12">
        <f>IFERROR(P37/O37-1,0)</f>
        <v/>
      </c>
      <c r="AJ37" s="12">
        <f>IFERROR(Q37/P37-1,0)</f>
        <v/>
      </c>
      <c r="AK37" s="12">
        <f>IFERROR(R37/Q37-1,0)</f>
        <v/>
      </c>
      <c r="AL37" s="12">
        <f>IFERROR(S37/R37-1,0)</f>
        <v/>
      </c>
      <c r="AM37" s="12">
        <f>IFERROR(T37/S37-1,0)</f>
        <v/>
      </c>
      <c r="AN37" s="12">
        <f>IFERROR(U37/T37-1,0)</f>
        <v/>
      </c>
      <c r="AO37" s="12">
        <f>IFERROR(V37/U37-1,0)</f>
        <v/>
      </c>
    </row>
    <row r="38" ht="15" customHeight="1" s="8">
      <c r="A38" s="7" t="inlineStr">
        <is>
          <t>USA</t>
        </is>
      </c>
      <c r="B38" s="7" t="inlineStr">
        <is>
          <t>By Sales Channel</t>
        </is>
      </c>
      <c r="C38" s="7" t="inlineStr">
        <is>
          <t>Pharmacy / Drugstores</t>
        </is>
      </c>
      <c r="D38" s="7" t="inlineStr">
        <is>
          <t>Pharmacy / Drugstores</t>
        </is>
      </c>
      <c r="E38" s="7" t="inlineStr">
        <is>
          <t>Pharmacy / Drugstores</t>
        </is>
      </c>
      <c r="F38" s="7" t="inlineStr">
        <is>
          <t>Mn Units</t>
        </is>
      </c>
      <c r="G38" s="11" t="n">
        <v>191.480761</v>
      </c>
      <c r="H38" s="11" t="n">
        <v>195.150359</v>
      </c>
      <c r="I38" s="11" t="n">
        <v>198.887846</v>
      </c>
      <c r="J38" s="11" t="n">
        <v>202.762298</v>
      </c>
      <c r="K38" s="11" t="n">
        <v>206.716087</v>
      </c>
      <c r="L38" s="11" t="n">
        <v>210.531068</v>
      </c>
      <c r="M38" s="11" t="n">
        <v>214.229871</v>
      </c>
      <c r="N38" s="11" t="n">
        <v>217.647963</v>
      </c>
      <c r="O38" s="11" t="n">
        <v>220.649606</v>
      </c>
      <c r="P38" s="11" t="n">
        <v>223.125875</v>
      </c>
      <c r="Q38" s="11" t="n">
        <v>225.401947</v>
      </c>
      <c r="R38" s="11" t="n">
        <v>227.832849</v>
      </c>
      <c r="S38" s="11" t="n">
        <v>230.700499</v>
      </c>
      <c r="T38" s="11" t="n">
        <v>233.705498</v>
      </c>
      <c r="U38" s="11" t="n">
        <v>236.568806</v>
      </c>
      <c r="V38" s="11" t="n">
        <v>239.31875</v>
      </c>
      <c r="X38" s="12">
        <f>IFERROR(RATE(4,,-G38,K38),0)</f>
        <v/>
      </c>
      <c r="Y38" s="12">
        <f>IFERROR(RATE(11,,-K38,V38),0)</f>
        <v/>
      </c>
      <c r="AA38" s="12">
        <f>IFERROR(H38/G38-1,0)</f>
        <v/>
      </c>
      <c r="AB38" s="12">
        <f>IFERROR(I38/H38-1,0)</f>
        <v/>
      </c>
      <c r="AC38" s="12">
        <f>IFERROR(J38/I38-1,0)</f>
        <v/>
      </c>
      <c r="AD38" s="12">
        <f>IFERROR(K38/J38-1,0)</f>
        <v/>
      </c>
      <c r="AE38" s="12">
        <f>IFERROR(L38/K38-1,0)</f>
        <v/>
      </c>
      <c r="AF38" s="12">
        <f>IFERROR(M38/L38-1,0)</f>
        <v/>
      </c>
      <c r="AG38" s="12">
        <f>IFERROR(N38/M38-1,0)</f>
        <v/>
      </c>
      <c r="AH38" s="12">
        <f>IFERROR(O38/N38-1,0)</f>
        <v/>
      </c>
      <c r="AI38" s="12">
        <f>IFERROR(P38/O38-1,0)</f>
        <v/>
      </c>
      <c r="AJ38" s="12">
        <f>IFERROR(Q38/P38-1,0)</f>
        <v/>
      </c>
      <c r="AK38" s="12">
        <f>IFERROR(R38/Q38-1,0)</f>
        <v/>
      </c>
      <c r="AL38" s="12">
        <f>IFERROR(S38/R38-1,0)</f>
        <v/>
      </c>
      <c r="AM38" s="12">
        <f>IFERROR(T38/S38-1,0)</f>
        <v/>
      </c>
      <c r="AN38" s="12">
        <f>IFERROR(U38/T38-1,0)</f>
        <v/>
      </c>
      <c r="AO38" s="12">
        <f>IFERROR(V38/U38-1,0)</f>
        <v/>
      </c>
    </row>
    <row r="39" ht="15" customHeight="1" s="8">
      <c r="A39" s="7" t="inlineStr">
        <is>
          <t>USA</t>
        </is>
      </c>
      <c r="B39" s="7" t="inlineStr">
        <is>
          <t>By Sales Channel</t>
        </is>
      </c>
      <c r="C39" s="7" t="inlineStr">
        <is>
          <t>Specialty Health &amp; Wellness Retail</t>
        </is>
      </c>
      <c r="D39" s="7" t="inlineStr">
        <is>
          <t>Specialty Health &amp; Wellness Retail</t>
        </is>
      </c>
      <c r="E39" s="7" t="inlineStr">
        <is>
          <t>Specialty Health &amp; Wellness Retail</t>
        </is>
      </c>
      <c r="F39" s="7" t="inlineStr">
        <is>
          <t>Mn Units</t>
        </is>
      </c>
      <c r="G39" s="11" t="n">
        <v>37.345872</v>
      </c>
      <c r="H39" s="11" t="n">
        <v>39.472851</v>
      </c>
      <c r="I39" s="11" t="n">
        <v>41.590822</v>
      </c>
      <c r="J39" s="11" t="n">
        <v>43.65564</v>
      </c>
      <c r="K39" s="11" t="n">
        <v>45.725217</v>
      </c>
      <c r="L39" s="11" t="n">
        <v>47.929403</v>
      </c>
      <c r="M39" s="11" t="n">
        <v>50.375631</v>
      </c>
      <c r="N39" s="11" t="n">
        <v>53.120527</v>
      </c>
      <c r="O39" s="11" t="n">
        <v>56.059351</v>
      </c>
      <c r="P39" s="11" t="n">
        <v>59.001189</v>
      </c>
      <c r="Q39" s="11" t="n">
        <v>61.971555</v>
      </c>
      <c r="R39" s="11" t="n">
        <v>65.101377</v>
      </c>
      <c r="S39" s="11" t="n">
        <v>68.546558</v>
      </c>
      <c r="T39" s="11" t="n">
        <v>72.201329</v>
      </c>
      <c r="U39" s="11" t="n">
        <v>75.94223</v>
      </c>
      <c r="V39" s="11" t="n">
        <v>79.76504300000001</v>
      </c>
      <c r="X39" s="12">
        <f>IFERROR(RATE(4,,-G39,K39),0)</f>
        <v/>
      </c>
      <c r="Y39" s="12">
        <f>IFERROR(RATE(11,,-K39,V39),0)</f>
        <v/>
      </c>
      <c r="AA39" s="12">
        <f>IFERROR(H39/G39-1,0)</f>
        <v/>
      </c>
      <c r="AB39" s="12">
        <f>IFERROR(I39/H39-1,0)</f>
        <v/>
      </c>
      <c r="AC39" s="12">
        <f>IFERROR(J39/I39-1,0)</f>
        <v/>
      </c>
      <c r="AD39" s="12">
        <f>IFERROR(K39/J39-1,0)</f>
        <v/>
      </c>
      <c r="AE39" s="12">
        <f>IFERROR(L39/K39-1,0)</f>
        <v/>
      </c>
      <c r="AF39" s="12">
        <f>IFERROR(M39/L39-1,0)</f>
        <v/>
      </c>
      <c r="AG39" s="12">
        <f>IFERROR(N39/M39-1,0)</f>
        <v/>
      </c>
      <c r="AH39" s="12">
        <f>IFERROR(O39/N39-1,0)</f>
        <v/>
      </c>
      <c r="AI39" s="12">
        <f>IFERROR(P39/O39-1,0)</f>
        <v/>
      </c>
      <c r="AJ39" s="12">
        <f>IFERROR(Q39/P39-1,0)</f>
        <v/>
      </c>
      <c r="AK39" s="12">
        <f>IFERROR(R39/Q39-1,0)</f>
        <v/>
      </c>
      <c r="AL39" s="12">
        <f>IFERROR(S39/R39-1,0)</f>
        <v/>
      </c>
      <c r="AM39" s="12">
        <f>IFERROR(T39/S39-1,0)</f>
        <v/>
      </c>
      <c r="AN39" s="12">
        <f>IFERROR(U39/T39-1,0)</f>
        <v/>
      </c>
      <c r="AO39" s="12">
        <f>IFERROR(V39/U39-1,0)</f>
        <v/>
      </c>
    </row>
    <row r="40" ht="15" customHeight="1" s="8">
      <c r="A40" s="7" t="inlineStr">
        <is>
          <t>USA</t>
        </is>
      </c>
      <c r="B40" s="7" t="inlineStr">
        <is>
          <t>By Sales Channel</t>
        </is>
      </c>
      <c r="C40" s="7" t="inlineStr">
        <is>
          <t>Practitioner / Clinic Channel</t>
        </is>
      </c>
      <c r="D40" s="7" t="inlineStr">
        <is>
          <t>Practitioner / Clinic Channel</t>
        </is>
      </c>
      <c r="E40" s="7" t="inlineStr">
        <is>
          <t>Practitioner / Clinic Channel</t>
        </is>
      </c>
      <c r="F40" s="7" t="inlineStr">
        <is>
          <t>Mn Units</t>
        </is>
      </c>
      <c r="G40" s="11" t="n">
        <v>13.580299</v>
      </c>
      <c r="H40" s="11" t="n">
        <v>14.216626</v>
      </c>
      <c r="I40" s="11" t="n">
        <v>14.874617</v>
      </c>
      <c r="J40" s="11" t="n">
        <v>15.537468</v>
      </c>
      <c r="K40" s="11" t="n">
        <v>16.194348</v>
      </c>
      <c r="L40" s="11" t="n">
        <v>16.858464</v>
      </c>
      <c r="M40" s="11" t="n">
        <v>17.568285</v>
      </c>
      <c r="N40" s="11" t="n">
        <v>18.35434</v>
      </c>
      <c r="O40" s="11" t="n">
        <v>19.208013</v>
      </c>
      <c r="P40" s="11" t="n">
        <v>20.047194</v>
      </c>
      <c r="Q40" s="11" t="n">
        <v>20.850314</v>
      </c>
      <c r="R40" s="11" t="n">
        <v>21.661089</v>
      </c>
      <c r="S40" s="11" t="n">
        <v>22.580421</v>
      </c>
      <c r="T40" s="11" t="n">
        <v>23.542453</v>
      </c>
      <c r="U40" s="11" t="n">
        <v>24.509808</v>
      </c>
      <c r="V40" s="11" t="n">
        <v>25.467959</v>
      </c>
      <c r="X40" s="12">
        <f>IFERROR(RATE(4,,-G40,K40),0)</f>
        <v/>
      </c>
      <c r="Y40" s="12">
        <f>IFERROR(RATE(11,,-K40,V40),0)</f>
        <v/>
      </c>
      <c r="AA40" s="12">
        <f>IFERROR(H40/G40-1,0)</f>
        <v/>
      </c>
      <c r="AB40" s="12">
        <f>IFERROR(I40/H40-1,0)</f>
        <v/>
      </c>
      <c r="AC40" s="12">
        <f>IFERROR(J40/I40-1,0)</f>
        <v/>
      </c>
      <c r="AD40" s="12">
        <f>IFERROR(K40/J40-1,0)</f>
        <v/>
      </c>
      <c r="AE40" s="12">
        <f>IFERROR(L40/K40-1,0)</f>
        <v/>
      </c>
      <c r="AF40" s="12">
        <f>IFERROR(M40/L40-1,0)</f>
        <v/>
      </c>
      <c r="AG40" s="12">
        <f>IFERROR(N40/M40-1,0)</f>
        <v/>
      </c>
      <c r="AH40" s="12">
        <f>IFERROR(O40/N40-1,0)</f>
        <v/>
      </c>
      <c r="AI40" s="12">
        <f>IFERROR(P40/O40-1,0)</f>
        <v/>
      </c>
      <c r="AJ40" s="12">
        <f>IFERROR(Q40/P40-1,0)</f>
        <v/>
      </c>
      <c r="AK40" s="12">
        <f>IFERROR(R40/Q40-1,0)</f>
        <v/>
      </c>
      <c r="AL40" s="12">
        <f>IFERROR(S40/R40-1,0)</f>
        <v/>
      </c>
      <c r="AM40" s="12">
        <f>IFERROR(T40/S40-1,0)</f>
        <v/>
      </c>
      <c r="AN40" s="12">
        <f>IFERROR(U40/T40-1,0)</f>
        <v/>
      </c>
      <c r="AO40" s="12">
        <f>IFERROR(V40/U40-1,0)</f>
        <v/>
      </c>
    </row>
    <row r="41" ht="15" customHeight="1" s="8">
      <c r="A41" s="7" t="inlineStr">
        <is>
          <t>USA</t>
        </is>
      </c>
      <c r="B41" s="7" t="inlineStr">
        <is>
          <t>By Sales Channel</t>
        </is>
      </c>
      <c r="C41" s="7" t="inlineStr">
        <is>
          <t>Direct-to-Consumer / Brand Website</t>
        </is>
      </c>
      <c r="D41" s="7" t="inlineStr">
        <is>
          <t>Direct-to-Consumer / Brand Website</t>
        </is>
      </c>
      <c r="E41" s="7" t="inlineStr">
        <is>
          <t>Direct-to-Consumer / Brand Website</t>
        </is>
      </c>
      <c r="F41" s="7" t="inlineStr">
        <is>
          <t>US$ Mn</t>
        </is>
      </c>
      <c r="G41" s="13" t="n">
        <v>21.6107921108413</v>
      </c>
      <c r="H41" s="13" t="n">
        <v>22.7393677980979</v>
      </c>
      <c r="I41" s="13" t="n">
        <v>24.0950787785118</v>
      </c>
      <c r="J41" s="13" t="n">
        <v>25.7014638742955</v>
      </c>
      <c r="K41" s="13" t="n">
        <v>27.60660006992</v>
      </c>
      <c r="L41" s="13" t="n">
        <v>29.9442765897094</v>
      </c>
      <c r="M41" s="13" t="n">
        <v>32.6692399790886</v>
      </c>
      <c r="N41" s="13" t="n">
        <v>35.840755303177</v>
      </c>
      <c r="O41" s="13" t="n">
        <v>39.5820205496328</v>
      </c>
      <c r="P41" s="13" t="n">
        <v>44.0893566678533</v>
      </c>
      <c r="Q41" s="13" t="n">
        <v>49.4800136852682</v>
      </c>
      <c r="R41" s="13" t="n">
        <v>55.7225000346593</v>
      </c>
      <c r="S41" s="13" t="n">
        <v>62.6486805403408</v>
      </c>
      <c r="T41" s="13" t="n">
        <v>70.3597815851552</v>
      </c>
      <c r="U41" s="13" t="n">
        <v>78.7638365988461</v>
      </c>
      <c r="V41" s="13" t="n">
        <v>87.88365512597861</v>
      </c>
      <c r="X41" s="12">
        <f>IFERROR(RATE(4,,-G41,K41),0)</f>
        <v/>
      </c>
      <c r="Y41" s="12">
        <f>IFERROR(RATE(11,,-K41,V41),0)</f>
        <v/>
      </c>
      <c r="AA41" s="12">
        <f>IFERROR(H41/G41-1,0)</f>
        <v/>
      </c>
      <c r="AB41" s="12">
        <f>IFERROR(I41/H41-1,0)</f>
        <v/>
      </c>
      <c r="AC41" s="12">
        <f>IFERROR(J41/I41-1,0)</f>
        <v/>
      </c>
      <c r="AD41" s="12">
        <f>IFERROR(K41/J41-1,0)</f>
        <v/>
      </c>
      <c r="AE41" s="12">
        <f>IFERROR(L41/K41-1,0)</f>
        <v/>
      </c>
      <c r="AF41" s="12">
        <f>IFERROR(M41/L41-1,0)</f>
        <v/>
      </c>
      <c r="AG41" s="12">
        <f>IFERROR(N41/M41-1,0)</f>
        <v/>
      </c>
      <c r="AH41" s="12">
        <f>IFERROR(O41/N41-1,0)</f>
        <v/>
      </c>
      <c r="AI41" s="12">
        <f>IFERROR(P41/O41-1,0)</f>
        <v/>
      </c>
      <c r="AJ41" s="12">
        <f>IFERROR(Q41/P41-1,0)</f>
        <v/>
      </c>
      <c r="AK41" s="12">
        <f>IFERROR(R41/Q41-1,0)</f>
        <v/>
      </c>
      <c r="AL41" s="12">
        <f>IFERROR(S41/R41-1,0)</f>
        <v/>
      </c>
      <c r="AM41" s="12">
        <f>IFERROR(T41/S41-1,0)</f>
        <v/>
      </c>
      <c r="AN41" s="12">
        <f>IFERROR(U41/T41-1,0)</f>
        <v/>
      </c>
      <c r="AO41" s="12">
        <f>IFERROR(V41/U41-1,0)</f>
        <v/>
      </c>
    </row>
    <row r="42" ht="15" customHeight="1" s="8">
      <c r="A42" s="7" t="inlineStr">
        <is>
          <t>USA</t>
        </is>
      </c>
      <c r="B42" s="7" t="inlineStr">
        <is>
          <t>By Sales Channel</t>
        </is>
      </c>
      <c r="C42" s="7" t="inlineStr">
        <is>
          <t>Amazon / Online Marketplaces</t>
        </is>
      </c>
      <c r="D42" s="7" t="inlineStr">
        <is>
          <t>Amazon / Online Marketplaces</t>
        </is>
      </c>
      <c r="E42" s="7" t="inlineStr">
        <is>
          <t>Amazon / Online Marketplaces</t>
        </is>
      </c>
      <c r="F42" s="7" t="inlineStr">
        <is>
          <t>US$ Mn</t>
        </is>
      </c>
      <c r="G42" s="13" t="n">
        <v>52.287742169054</v>
      </c>
      <c r="H42" s="13" t="n">
        <v>56.26138029041</v>
      </c>
      <c r="I42" s="13" t="n">
        <v>60.3489802986941</v>
      </c>
      <c r="J42" s="13" t="n">
        <v>64.49512762274701</v>
      </c>
      <c r="K42" s="13" t="n">
        <v>68.79740010488</v>
      </c>
      <c r="L42" s="13" t="n">
        <v>73.7216552872147</v>
      </c>
      <c r="M42" s="13" t="n">
        <v>79.3343150762669</v>
      </c>
      <c r="N42" s="13" t="n">
        <v>85.8123326268534</v>
      </c>
      <c r="O42" s="13" t="n">
        <v>93.4309595820785</v>
      </c>
      <c r="P42" s="13" t="n">
        <v>102.162829757928</v>
      </c>
      <c r="Q42" s="13" t="n">
        <v>111.642000849736</v>
      </c>
      <c r="R42" s="13" t="n">
        <v>121.799793358751</v>
      </c>
      <c r="S42" s="13" t="n">
        <v>132.592091841146</v>
      </c>
      <c r="T42" s="13" t="n">
        <v>144.024073256407</v>
      </c>
      <c r="U42" s="13" t="n">
        <v>156.15951927507</v>
      </c>
      <c r="V42" s="13" t="n">
        <v>169.066046526343</v>
      </c>
      <c r="X42" s="12">
        <f>IFERROR(RATE(4,,-G42,K42),0)</f>
        <v/>
      </c>
      <c r="Y42" s="12">
        <f>IFERROR(RATE(11,,-K42,V42),0)</f>
        <v/>
      </c>
      <c r="AA42" s="12">
        <f>IFERROR(H42/G42-1,0)</f>
        <v/>
      </c>
      <c r="AB42" s="12">
        <f>IFERROR(I42/H42-1,0)</f>
        <v/>
      </c>
      <c r="AC42" s="12">
        <f>IFERROR(J42/I42-1,0)</f>
        <v/>
      </c>
      <c r="AD42" s="12">
        <f>IFERROR(K42/J42-1,0)</f>
        <v/>
      </c>
      <c r="AE42" s="12">
        <f>IFERROR(L42/K42-1,0)</f>
        <v/>
      </c>
      <c r="AF42" s="12">
        <f>IFERROR(M42/L42-1,0)</f>
        <v/>
      </c>
      <c r="AG42" s="12">
        <f>IFERROR(N42/M42-1,0)</f>
        <v/>
      </c>
      <c r="AH42" s="12">
        <f>IFERROR(O42/N42-1,0)</f>
        <v/>
      </c>
      <c r="AI42" s="12">
        <f>IFERROR(P42/O42-1,0)</f>
        <v/>
      </c>
      <c r="AJ42" s="12">
        <f>IFERROR(Q42/P42-1,0)</f>
        <v/>
      </c>
      <c r="AK42" s="12">
        <f>IFERROR(R42/Q42-1,0)</f>
        <v/>
      </c>
      <c r="AL42" s="12">
        <f>IFERROR(S42/R42-1,0)</f>
        <v/>
      </c>
      <c r="AM42" s="12">
        <f>IFERROR(T42/S42-1,0)</f>
        <v/>
      </c>
      <c r="AN42" s="12">
        <f>IFERROR(U42/T42-1,0)</f>
        <v/>
      </c>
      <c r="AO42" s="12">
        <f>IFERROR(V42/U42-1,0)</f>
        <v/>
      </c>
    </row>
    <row r="43" ht="15" customHeight="1" s="8">
      <c r="A43" s="7" t="inlineStr">
        <is>
          <t>USA</t>
        </is>
      </c>
      <c r="B43" s="7" t="inlineStr">
        <is>
          <t>By Sales Channel</t>
        </is>
      </c>
      <c r="C43" s="7" t="inlineStr">
        <is>
          <t>Mass Retail</t>
        </is>
      </c>
      <c r="D43" s="7" t="inlineStr">
        <is>
          <t>Mass Retail</t>
        </is>
      </c>
      <c r="E43" s="7" t="inlineStr">
        <is>
          <t>Mass Retail</t>
        </is>
      </c>
      <c r="F43" s="7" t="inlineStr">
        <is>
          <t>US$ Mn</t>
        </is>
      </c>
      <c r="G43" s="13" t="n">
        <v>52.2566684956247</v>
      </c>
      <c r="H43" s="13" t="n">
        <v>54.2032731301313</v>
      </c>
      <c r="I43" s="13" t="n">
        <v>56.2953449570046</v>
      </c>
      <c r="J43" s="13" t="n">
        <v>58.5798128224251</v>
      </c>
      <c r="K43" s="13" t="n">
        <v>60.90979988776</v>
      </c>
      <c r="L43" s="13" t="n">
        <v>63.353434064437</v>
      </c>
      <c r="M43" s="13" t="n">
        <v>65.74621320240711</v>
      </c>
      <c r="N43" s="13" t="n">
        <v>68.2478820370833</v>
      </c>
      <c r="O43" s="13" t="n">
        <v>70.9205529045403</v>
      </c>
      <c r="P43" s="13" t="n">
        <v>73.8096663293633</v>
      </c>
      <c r="Q43" s="13" t="n">
        <v>76.9518702844622</v>
      </c>
      <c r="R43" s="13" t="n">
        <v>80.3125869587643</v>
      </c>
      <c r="S43" s="13" t="n">
        <v>83.8825179555477</v>
      </c>
      <c r="T43" s="13" t="n">
        <v>87.6129748632525</v>
      </c>
      <c r="U43" s="13" t="n">
        <v>91.40137229514291</v>
      </c>
      <c r="V43" s="13" t="n">
        <v>95.2130840209135</v>
      </c>
      <c r="X43" s="12">
        <f>IFERROR(RATE(4,,-G43,K43),0)</f>
        <v/>
      </c>
      <c r="Y43" s="12">
        <f>IFERROR(RATE(11,,-K43,V43),0)</f>
        <v/>
      </c>
      <c r="AA43" s="12">
        <f>IFERROR(H43/G43-1,0)</f>
        <v/>
      </c>
      <c r="AB43" s="12">
        <f>IFERROR(I43/H43-1,0)</f>
        <v/>
      </c>
      <c r="AC43" s="12">
        <f>IFERROR(J43/I43-1,0)</f>
        <v/>
      </c>
      <c r="AD43" s="12">
        <f>IFERROR(K43/J43-1,0)</f>
        <v/>
      </c>
      <c r="AE43" s="12">
        <f>IFERROR(L43/K43-1,0)</f>
        <v/>
      </c>
      <c r="AF43" s="12">
        <f>IFERROR(M43/L43-1,0)</f>
        <v/>
      </c>
      <c r="AG43" s="12">
        <f>IFERROR(N43/M43-1,0)</f>
        <v/>
      </c>
      <c r="AH43" s="12">
        <f>IFERROR(O43/N43-1,0)</f>
        <v/>
      </c>
      <c r="AI43" s="12">
        <f>IFERROR(P43/O43-1,0)</f>
        <v/>
      </c>
      <c r="AJ43" s="12">
        <f>IFERROR(Q43/P43-1,0)</f>
        <v/>
      </c>
      <c r="AK43" s="12">
        <f>IFERROR(R43/Q43-1,0)</f>
        <v/>
      </c>
      <c r="AL43" s="12">
        <f>IFERROR(S43/R43-1,0)</f>
        <v/>
      </c>
      <c r="AM43" s="12">
        <f>IFERROR(T43/S43-1,0)</f>
        <v/>
      </c>
      <c r="AN43" s="12">
        <f>IFERROR(U43/T43-1,0)</f>
        <v/>
      </c>
      <c r="AO43" s="12">
        <f>IFERROR(V43/U43-1,0)</f>
        <v/>
      </c>
    </row>
    <row r="44" ht="15" customHeight="1" s="8">
      <c r="A44" s="7" t="inlineStr">
        <is>
          <t>USA</t>
        </is>
      </c>
      <c r="B44" s="7" t="inlineStr">
        <is>
          <t>By Sales Channel</t>
        </is>
      </c>
      <c r="C44" s="7" t="inlineStr">
        <is>
          <t>Pharmacy / Drugstores</t>
        </is>
      </c>
      <c r="D44" s="7" t="inlineStr">
        <is>
          <t>Pharmacy / Drugstores</t>
        </is>
      </c>
      <c r="E44" s="7" t="inlineStr">
        <is>
          <t>Pharmacy / Drugstores</t>
        </is>
      </c>
      <c r="F44" s="7" t="inlineStr">
        <is>
          <t>US$ Mn</t>
        </is>
      </c>
      <c r="G44" s="13" t="n">
        <v>43.7137572113785</v>
      </c>
      <c r="H44" s="13" t="n">
        <v>44.6124148440959</v>
      </c>
      <c r="I44" s="13" t="n">
        <v>45.5418495987024</v>
      </c>
      <c r="J44" s="13" t="n">
        <v>46.529784784411</v>
      </c>
      <c r="K44" s="13" t="n">
        <v>47.54469999264</v>
      </c>
      <c r="L44" s="13" t="n">
        <v>48.643519237093</v>
      </c>
      <c r="M44" s="13" t="n">
        <v>49.7527079984801</v>
      </c>
      <c r="N44" s="13" t="n">
        <v>50.8365373955327</v>
      </c>
      <c r="O44" s="13" t="n">
        <v>51.8539304056881</v>
      </c>
      <c r="P44" s="13" t="n">
        <v>52.7853054364571</v>
      </c>
      <c r="Q44" s="13" t="n">
        <v>53.7033106236665</v>
      </c>
      <c r="R44" s="13" t="n">
        <v>54.69702632157</v>
      </c>
      <c r="S44" s="13" t="n">
        <v>55.8259436826304</v>
      </c>
      <c r="T44" s="13" t="n">
        <v>57.0325770625612</v>
      </c>
      <c r="U44" s="13" t="n">
        <v>58.2524474706948</v>
      </c>
      <c r="V44" s="13" t="n">
        <v>59.4856675374391</v>
      </c>
      <c r="X44" s="12">
        <f>IFERROR(RATE(4,,-G44,K44),0)</f>
        <v/>
      </c>
      <c r="Y44" s="12">
        <f>IFERROR(RATE(11,,-K44,V44),0)</f>
        <v/>
      </c>
      <c r="AA44" s="12">
        <f>IFERROR(H44/G44-1,0)</f>
        <v/>
      </c>
      <c r="AB44" s="12">
        <f>IFERROR(I44/H44-1,0)</f>
        <v/>
      </c>
      <c r="AC44" s="12">
        <f>IFERROR(J44/I44-1,0)</f>
        <v/>
      </c>
      <c r="AD44" s="12">
        <f>IFERROR(K44/J44-1,0)</f>
        <v/>
      </c>
      <c r="AE44" s="12">
        <f>IFERROR(L44/K44-1,0)</f>
        <v/>
      </c>
      <c r="AF44" s="12">
        <f>IFERROR(M44/L44-1,0)</f>
        <v/>
      </c>
      <c r="AG44" s="12">
        <f>IFERROR(N44/M44-1,0)</f>
        <v/>
      </c>
      <c r="AH44" s="12">
        <f>IFERROR(O44/N44-1,0)</f>
        <v/>
      </c>
      <c r="AI44" s="12">
        <f>IFERROR(P44/O44-1,0)</f>
        <v/>
      </c>
      <c r="AJ44" s="12">
        <f>IFERROR(Q44/P44-1,0)</f>
        <v/>
      </c>
      <c r="AK44" s="12">
        <f>IFERROR(R44/Q44-1,0)</f>
        <v/>
      </c>
      <c r="AL44" s="12">
        <f>IFERROR(S44/R44-1,0)</f>
        <v/>
      </c>
      <c r="AM44" s="12">
        <f>IFERROR(T44/S44-1,0)</f>
        <v/>
      </c>
      <c r="AN44" s="12">
        <f>IFERROR(U44/T44-1,0)</f>
        <v/>
      </c>
      <c r="AO44" s="12">
        <f>IFERROR(V44/U44-1,0)</f>
        <v/>
      </c>
    </row>
    <row r="45" ht="15" customHeight="1" s="8">
      <c r="A45" s="7" t="inlineStr">
        <is>
          <t>USA</t>
        </is>
      </c>
      <c r="B45" s="7" t="inlineStr">
        <is>
          <t>By Sales Channel</t>
        </is>
      </c>
      <c r="C45" s="7" t="inlineStr">
        <is>
          <t>Specialty Health &amp; Wellness Retail</t>
        </is>
      </c>
      <c r="D45" s="7" t="inlineStr">
        <is>
          <t>Specialty Health &amp; Wellness Retail</t>
        </is>
      </c>
      <c r="E45" s="7" t="inlineStr">
        <is>
          <t>Specialty Health &amp; Wellness Retail</t>
        </is>
      </c>
      <c r="F45" s="7" t="inlineStr">
        <is>
          <t>US$ Mn</t>
        </is>
      </c>
      <c r="G45" s="13" t="n">
        <v>8.525808926857239</v>
      </c>
      <c r="H45" s="13" t="n">
        <v>9.02370465990885</v>
      </c>
      <c r="I45" s="13" t="n">
        <v>9.52357320120206</v>
      </c>
      <c r="J45" s="13" t="n">
        <v>10.0180731519709</v>
      </c>
      <c r="K45" s="13" t="n">
        <v>10.51679990616</v>
      </c>
      <c r="L45" s="13" t="n">
        <v>11.0741604980263</v>
      </c>
      <c r="M45" s="13" t="n">
        <v>11.699227785943</v>
      </c>
      <c r="N45" s="13" t="n">
        <v>12.4074841780436</v>
      </c>
      <c r="O45" s="13" t="n">
        <v>13.1742709087006</v>
      </c>
      <c r="P45" s="13" t="n">
        <v>13.9580215987013</v>
      </c>
      <c r="Q45" s="13" t="n">
        <v>14.7650795048218</v>
      </c>
      <c r="R45" s="13" t="n">
        <v>15.6292288270488</v>
      </c>
      <c r="S45" s="13" t="n">
        <v>16.5872042025629</v>
      </c>
      <c r="T45" s="13" t="n">
        <v>17.6197303677119</v>
      </c>
      <c r="U45" s="13" t="n">
        <v>18.6999327539507</v>
      </c>
      <c r="V45" s="13" t="n">
        <v>19.8265987475178</v>
      </c>
      <c r="X45" s="12">
        <f>IFERROR(RATE(4,,-G45,K45),0)</f>
        <v/>
      </c>
      <c r="Y45" s="12">
        <f>IFERROR(RATE(11,,-K45,V45),0)</f>
        <v/>
      </c>
      <c r="AA45" s="12">
        <f>IFERROR(H45/G45-1,0)</f>
        <v/>
      </c>
      <c r="AB45" s="12">
        <f>IFERROR(I45/H45-1,0)</f>
        <v/>
      </c>
      <c r="AC45" s="12">
        <f>IFERROR(J45/I45-1,0)</f>
        <v/>
      </c>
      <c r="AD45" s="12">
        <f>IFERROR(K45/J45-1,0)</f>
        <v/>
      </c>
      <c r="AE45" s="12">
        <f>IFERROR(L45/K45-1,0)</f>
        <v/>
      </c>
      <c r="AF45" s="12">
        <f>IFERROR(M45/L45-1,0)</f>
        <v/>
      </c>
      <c r="AG45" s="12">
        <f>IFERROR(N45/M45-1,0)</f>
        <v/>
      </c>
      <c r="AH45" s="12">
        <f>IFERROR(O45/N45-1,0)</f>
        <v/>
      </c>
      <c r="AI45" s="12">
        <f>IFERROR(P45/O45-1,0)</f>
        <v/>
      </c>
      <c r="AJ45" s="12">
        <f>IFERROR(Q45/P45-1,0)</f>
        <v/>
      </c>
      <c r="AK45" s="12">
        <f>IFERROR(R45/Q45-1,0)</f>
        <v/>
      </c>
      <c r="AL45" s="12">
        <f>IFERROR(S45/R45-1,0)</f>
        <v/>
      </c>
      <c r="AM45" s="12">
        <f>IFERROR(T45/S45-1,0)</f>
        <v/>
      </c>
      <c r="AN45" s="12">
        <f>IFERROR(U45/T45-1,0)</f>
        <v/>
      </c>
      <c r="AO45" s="12">
        <f>IFERROR(V45/U45-1,0)</f>
        <v/>
      </c>
    </row>
    <row r="46" ht="15" customHeight="1" s="8">
      <c r="A46" s="7" t="inlineStr">
        <is>
          <t>USA</t>
        </is>
      </c>
      <c r="B46" s="7" t="inlineStr">
        <is>
          <t>By Sales Channel</t>
        </is>
      </c>
      <c r="C46" s="7" t="inlineStr">
        <is>
          <t>Practitioner / Clinic Channel</t>
        </is>
      </c>
      <c r="D46" s="7" t="inlineStr">
        <is>
          <t>Practitioner / Clinic Channel</t>
        </is>
      </c>
      <c r="E46" s="7" t="inlineStr">
        <is>
          <t>Practitioner / Clinic Channel</t>
        </is>
      </c>
      <c r="F46" s="7" t="inlineStr">
        <is>
          <t>US$ Mn</t>
        </is>
      </c>
      <c r="G46" s="13" t="n">
        <v>3.10029002518914</v>
      </c>
      <c r="H46" s="13" t="n">
        <v>3.24999666946736</v>
      </c>
      <c r="I46" s="13" t="n">
        <v>3.40602798952482</v>
      </c>
      <c r="J46" s="13" t="n">
        <v>3.56552992970455</v>
      </c>
      <c r="K46" s="13" t="n">
        <v>3.72470003864</v>
      </c>
      <c r="L46" s="13" t="n">
        <v>3.89517340923687</v>
      </c>
      <c r="M46" s="13" t="n">
        <v>4.08005545426053</v>
      </c>
      <c r="N46" s="13" t="n">
        <v>4.28706558480551</v>
      </c>
      <c r="O46" s="13" t="n">
        <v>4.51399387195621</v>
      </c>
      <c r="P46" s="13" t="n">
        <v>4.74260216765048</v>
      </c>
      <c r="Q46" s="13" t="n">
        <v>4.96770726360666</v>
      </c>
      <c r="R46" s="13" t="n">
        <v>5.20029118007856</v>
      </c>
      <c r="S46" s="13" t="n">
        <v>5.46411176629525</v>
      </c>
      <c r="T46" s="13" t="n">
        <v>5.7452082918658</v>
      </c>
      <c r="U46" s="13" t="n">
        <v>6.03526866951687</v>
      </c>
      <c r="V46" s="13" t="n">
        <v>6.33037963774727</v>
      </c>
      <c r="X46" s="12">
        <f>IFERROR(RATE(4,,-G46,K46),0)</f>
        <v/>
      </c>
      <c r="Y46" s="12">
        <f>IFERROR(RATE(11,,-K46,V46),0)</f>
        <v/>
      </c>
      <c r="AA46" s="12">
        <f>IFERROR(H46/G46-1,0)</f>
        <v/>
      </c>
      <c r="AB46" s="12">
        <f>IFERROR(I46/H46-1,0)</f>
        <v/>
      </c>
      <c r="AC46" s="12">
        <f>IFERROR(J46/I46-1,0)</f>
        <v/>
      </c>
      <c r="AD46" s="12">
        <f>IFERROR(K46/J46-1,0)</f>
        <v/>
      </c>
      <c r="AE46" s="12">
        <f>IFERROR(L46/K46-1,0)</f>
        <v/>
      </c>
      <c r="AF46" s="12">
        <f>IFERROR(M46/L46-1,0)</f>
        <v/>
      </c>
      <c r="AG46" s="12">
        <f>IFERROR(N46/M46-1,0)</f>
        <v/>
      </c>
      <c r="AH46" s="12">
        <f>IFERROR(O46/N46-1,0)</f>
        <v/>
      </c>
      <c r="AI46" s="12">
        <f>IFERROR(P46/O46-1,0)</f>
        <v/>
      </c>
      <c r="AJ46" s="12">
        <f>IFERROR(Q46/P46-1,0)</f>
        <v/>
      </c>
      <c r="AK46" s="12">
        <f>IFERROR(R46/Q46-1,0)</f>
        <v/>
      </c>
      <c r="AL46" s="12">
        <f>IFERROR(S46/R46-1,0)</f>
        <v/>
      </c>
      <c r="AM46" s="12">
        <f>IFERROR(T46/S46-1,0)</f>
        <v/>
      </c>
      <c r="AN46" s="12">
        <f>IFERROR(U46/T46-1,0)</f>
        <v/>
      </c>
      <c r="AO46" s="12">
        <f>IFERROR(V46/U46-1,0)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0" customWidth="1" style="7" min="1" max="1"/>
  </cols>
  <sheetData>
    <row r="1" ht="15" customHeight="1" s="8">
      <c r="A1" s="9" t="inlineStr">
        <is>
          <t>Methodology &amp; Notes - USA Prenatal Vitamin Supplements Market</t>
        </is>
      </c>
    </row>
    <row r="2" ht="15" customHeight="1" s="8">
      <c r="A2" s="14" t="n"/>
    </row>
    <row r="3" ht="15" customHeight="1" s="8">
      <c r="A3" s="14" t="inlineStr">
        <is>
          <t>Scope: USA only (single country; no regional or Global roll-up in the input). Volume (Units) and Value (US$ Mn), 2021-2036, base year 2025.</t>
        </is>
      </c>
    </row>
    <row r="4" ht="28.35" customHeight="1" s="8">
      <c r="A4" s="14" t="inlineStr">
        <is>
          <t>Anchors (input sheet): value US$ 219.1 Mn, manufacturer-level ASP US$ 0.23 per unit, volume 952,608,696 units. Base-year volume and value both tie to these exactly (volume to the whole unit).</t>
        </is>
      </c>
    </row>
    <row r="5" ht="15" customHeight="1" s="8">
      <c r="A5" s="14" t="inlineStr">
        <is>
          <t>Volume unit = counted consumption unit (capsule, tablet, softgel, gummy, serving, bar) per the input sheet's pack-counting rules, at manufacturer level.</t>
        </is>
      </c>
    </row>
    <row r="6" ht="15" customHeight="1" s="8">
      <c r="A6" s="14" t="inlineStr">
        <is>
          <t>Priced axis (anchor): By Product Format. Segment shares in the input are volume shares; leaf volume = USA volume x share.</t>
        </is>
      </c>
    </row>
    <row r="7" ht="28.35" customHeight="1" s="8">
      <c r="A7" s="14" t="inlineStr">
        <is>
          <t>Every leaf (all three axes) is fitted with the divide-factor trend method: base-year YoY = CAGR / Trend_Sheet divide factor, forward path scaled to the stated forecast CAGR, historic path re-based to the base-year YoY. No leaf declines.</t>
        </is>
      </c>
    </row>
    <row r="8" ht="28.35" customHeight="1" s="8">
      <c r="A8" s="14" t="inlineStr">
        <is>
          <t>By Product Type and By Sales Channel are reconciled to the anchor volume per year by distributing the percentage gap across their sub-segments. The input's share-weighted CAGRs differ by axis (Format 5.5%, Product Type 5.1%, Sales Channel 6.7%), so the Sales Channel and Product Type realised CAGRs sit slightly away from the stated ones.</t>
        </is>
      </c>
    </row>
    <row r="9" ht="15" customHeight="1" s="8">
      <c r="A9" s="14" t="inlineStr">
        <is>
          <t>Volumes are whole units: one integer total per year, every axis rounded to that same total by largest remainder, so all three axes tie to zero in every year.</t>
        </is>
      </c>
    </row>
    <row r="10" ht="28.35" customHeight="1" s="8">
      <c r="A10" s="14" t="inlineStr">
        <is>
          <t>Price: one CAGR drawn per format in 0.5-1.0% (seeded, 20260714) and fitted to a PT curve. A single uniform price scale of 0.9695 applied to all format prices pins base-year value to US$ 219.1 Mn; realised format ASPs are therefore about 3.1% below the input ASPs (relative prices preserved).</t>
        </is>
      </c>
    </row>
    <row r="11" ht="15" customHeight="1" s="8">
      <c r="A11" s="14" t="inlineStr">
        <is>
          <t>Value on non-anchor axes = axis volume x the year's blended ASP, so total value is identical across axes in every year.</t>
        </is>
      </c>
    </row>
    <row r="12" ht="28.35" customHeight="1" s="8">
      <c r="A12" s="14" t="inlineStr">
        <is>
          <t>Layout: Region | Segment | Sub-segment | Sub-segment 1 | Sub-segment 2 | Unit | 2021-2036 | H-CAGR | F-CAGR | YoY. Leaf-only rows, Volume rows then Value rows per axis. H-CAGR = 2021-2025, F-CAGR = 2025-2036 (live RATE formulas).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2026-10-08T11:21:47Z</dcterms:created>
  <dcterms:modified xmlns:dcterms="http://purl.org/dc/terms/" xmlns:xsi="http://www.w3.org/2001/XMLSchema-instance" xsi:type="dcterms:W3CDTF">2026-10-08T11:32:23Z</dcterms:modified>
  <cp:revision>0</cp:revision>
</cp:coreProperties>
</file>